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加盟账单\2019账单\2019年07月\商品\账单\"/>
    </mc:Choice>
  </mc:AlternateContent>
  <xr:revisionPtr revIDLastSave="0" documentId="13_ncr:1_{26A764D0-D07C-424B-A806-91E4D06F61D2}" xr6:coauthVersionLast="43" xr6:coauthVersionMax="43" xr10:uidLastSave="{00000000-0000-0000-0000-000000000000}"/>
  <bookViews>
    <workbookView xWindow="-120" yWindow="-120" windowWidth="29040" windowHeight="15840" activeTab="1" xr2:uid="{9CB22E5B-CA75-4B56-A7FB-D158E4C51B3A}"/>
  </bookViews>
  <sheets>
    <sheet name="邮箱" sheetId="8" r:id="rId1"/>
    <sheet name="Bat" sheetId="3" r:id="rId2"/>
    <sheet name="文件名" sheetId="1" r:id="rId3"/>
    <sheet name="Sheet1" sheetId="5" state="hidden" r:id="rId4"/>
    <sheet name="Mail" sheetId="4" r:id="rId5"/>
    <sheet name="Sheet3" sheetId="7" r:id="rId6"/>
    <sheet name="Sheet2" sheetId="6" state="hidden" r:id="rId7"/>
  </sheets>
  <externalReferences>
    <externalReference r:id="rId8"/>
  </externalReferences>
  <definedNames>
    <definedName name="_xlnm._FilterDatabase" localSheetId="1" hidden="1">Bat!$A$1:$E$160</definedName>
    <definedName name="_xlnm._FilterDatabase" localSheetId="6" hidden="1">Sheet2!$A$1:$B$170</definedName>
    <definedName name="_xlnm._FilterDatabase" localSheetId="2" hidden="1">文件名!$G$3:$H$68</definedName>
    <definedName name="_xlnm._FilterDatabase" localSheetId="0" hidden="1">邮箱!$A$2:$H$153</definedName>
    <definedName name="Path" localSheetId="0">E:\加盟账单\18年账单\12月\账单数据\Source\Source</definedName>
    <definedName name="Path">E:\加盟账单\18年账单\12月\账单数据\Source\Source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3" l="1"/>
  <c r="I3" i="3" s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5" i="3"/>
  <c r="F4" i="3"/>
  <c r="F3" i="3"/>
  <c r="I153" i="8" l="1"/>
  <c r="I152" i="8"/>
  <c r="K152" i="8" s="1"/>
  <c r="I151" i="8"/>
  <c r="K151" i="8" s="1"/>
  <c r="I150" i="8"/>
  <c r="K150" i="8" s="1"/>
  <c r="I149" i="8"/>
  <c r="K149" i="8" s="1"/>
  <c r="D149" i="8"/>
  <c r="I148" i="8"/>
  <c r="K148" i="8" s="1"/>
  <c r="D148" i="8"/>
  <c r="I147" i="8"/>
  <c r="K147" i="8" s="1"/>
  <c r="D147" i="8"/>
  <c r="I146" i="8"/>
  <c r="K146" i="8" s="1"/>
  <c r="D146" i="8"/>
  <c r="I145" i="8"/>
  <c r="K145" i="8" s="1"/>
  <c r="D145" i="8"/>
  <c r="I144" i="8"/>
  <c r="K144" i="8" s="1"/>
  <c r="D144" i="8"/>
  <c r="I143" i="8"/>
  <c r="K143" i="8" s="1"/>
  <c r="D143" i="8"/>
  <c r="I142" i="8"/>
  <c r="K142" i="8" s="1"/>
  <c r="D142" i="8"/>
  <c r="I141" i="8"/>
  <c r="K141" i="8" s="1"/>
  <c r="D141" i="8"/>
  <c r="I140" i="8"/>
  <c r="K140" i="8" s="1"/>
  <c r="D140" i="8"/>
  <c r="I139" i="8"/>
  <c r="K139" i="8" s="1"/>
  <c r="D139" i="8"/>
  <c r="I138" i="8"/>
  <c r="K138" i="8" s="1"/>
  <c r="D138" i="8"/>
  <c r="I137" i="8"/>
  <c r="K137" i="8" s="1"/>
  <c r="D137" i="8"/>
  <c r="I136" i="8"/>
  <c r="K136" i="8" s="1"/>
  <c r="D136" i="8"/>
  <c r="I135" i="8"/>
  <c r="K135" i="8" s="1"/>
  <c r="D135" i="8"/>
  <c r="I134" i="8"/>
  <c r="K134" i="8" s="1"/>
  <c r="D134" i="8"/>
  <c r="I133" i="8"/>
  <c r="K133" i="8" s="1"/>
  <c r="D133" i="8"/>
  <c r="I132" i="8"/>
  <c r="K132" i="8" s="1"/>
  <c r="D132" i="8"/>
  <c r="I131" i="8"/>
  <c r="K131" i="8" s="1"/>
  <c r="D131" i="8"/>
  <c r="I130" i="8"/>
  <c r="K130" i="8" s="1"/>
  <c r="D130" i="8"/>
  <c r="I129" i="8"/>
  <c r="K129" i="8" s="1"/>
  <c r="D129" i="8"/>
  <c r="I128" i="8"/>
  <c r="K128" i="8" s="1"/>
  <c r="D128" i="8"/>
  <c r="I127" i="8"/>
  <c r="K127" i="8" s="1"/>
  <c r="D127" i="8"/>
  <c r="I126" i="8"/>
  <c r="K126" i="8" s="1"/>
  <c r="D126" i="8"/>
  <c r="I125" i="8"/>
  <c r="K125" i="8" s="1"/>
  <c r="D125" i="8"/>
  <c r="I124" i="8"/>
  <c r="K124" i="8" s="1"/>
  <c r="D124" i="8"/>
  <c r="I123" i="8"/>
  <c r="K123" i="8" s="1"/>
  <c r="D123" i="8"/>
  <c r="I122" i="8"/>
  <c r="K122" i="8" s="1"/>
  <c r="D122" i="8"/>
  <c r="I121" i="8"/>
  <c r="K121" i="8" s="1"/>
  <c r="D121" i="8"/>
  <c r="I120" i="8"/>
  <c r="K120" i="8" s="1"/>
  <c r="D120" i="8"/>
  <c r="I119" i="8"/>
  <c r="K119" i="8" s="1"/>
  <c r="D119" i="8"/>
  <c r="I118" i="8"/>
  <c r="K118" i="8" s="1"/>
  <c r="D118" i="8"/>
  <c r="I117" i="8"/>
  <c r="K117" i="8" s="1"/>
  <c r="D117" i="8"/>
  <c r="I116" i="8"/>
  <c r="K116" i="8" s="1"/>
  <c r="D116" i="8"/>
  <c r="I115" i="8"/>
  <c r="K115" i="8" s="1"/>
  <c r="D115" i="8"/>
  <c r="I114" i="8"/>
  <c r="K114" i="8" s="1"/>
  <c r="D114" i="8"/>
  <c r="I113" i="8"/>
  <c r="K113" i="8" s="1"/>
  <c r="D113" i="8"/>
  <c r="I112" i="8"/>
  <c r="K112" i="8" s="1"/>
  <c r="D112" i="8"/>
  <c r="I111" i="8"/>
  <c r="K111" i="8" s="1"/>
  <c r="D111" i="8"/>
  <c r="I110" i="8"/>
  <c r="K110" i="8" s="1"/>
  <c r="D110" i="8"/>
  <c r="I109" i="8"/>
  <c r="K109" i="8" s="1"/>
  <c r="D109" i="8"/>
  <c r="I108" i="8"/>
  <c r="K108" i="8" s="1"/>
  <c r="D108" i="8"/>
  <c r="I107" i="8"/>
  <c r="K107" i="8" s="1"/>
  <c r="D107" i="8"/>
  <c r="I106" i="8"/>
  <c r="K106" i="8" s="1"/>
  <c r="D106" i="8"/>
  <c r="I105" i="8"/>
  <c r="K105" i="8" s="1"/>
  <c r="D105" i="8"/>
  <c r="I104" i="8"/>
  <c r="K104" i="8" s="1"/>
  <c r="D104" i="8"/>
  <c r="I103" i="8"/>
  <c r="K103" i="8" s="1"/>
  <c r="D103" i="8"/>
  <c r="I102" i="8"/>
  <c r="K102" i="8" s="1"/>
  <c r="D102" i="8"/>
  <c r="I101" i="8"/>
  <c r="K101" i="8" s="1"/>
  <c r="D101" i="8"/>
  <c r="I100" i="8"/>
  <c r="K100" i="8" s="1"/>
  <c r="D100" i="8"/>
  <c r="I99" i="8"/>
  <c r="K99" i="8" s="1"/>
  <c r="D99" i="8"/>
  <c r="I98" i="8"/>
  <c r="K98" i="8" s="1"/>
  <c r="D98" i="8"/>
  <c r="I97" i="8"/>
  <c r="K97" i="8" s="1"/>
  <c r="D97" i="8"/>
  <c r="I96" i="8"/>
  <c r="K96" i="8" s="1"/>
  <c r="D96" i="8"/>
  <c r="I95" i="8"/>
  <c r="K95" i="8" s="1"/>
  <c r="D95" i="8"/>
  <c r="I94" i="8"/>
  <c r="K94" i="8" s="1"/>
  <c r="D94" i="8"/>
  <c r="I93" i="8"/>
  <c r="K93" i="8" s="1"/>
  <c r="D93" i="8"/>
  <c r="I92" i="8"/>
  <c r="K92" i="8" s="1"/>
  <c r="D92" i="8"/>
  <c r="I91" i="8"/>
  <c r="K91" i="8" s="1"/>
  <c r="D91" i="8"/>
  <c r="I90" i="8"/>
  <c r="K90" i="8" s="1"/>
  <c r="D90" i="8"/>
  <c r="I89" i="8"/>
  <c r="K89" i="8" s="1"/>
  <c r="D89" i="8"/>
  <c r="I88" i="8"/>
  <c r="K88" i="8" s="1"/>
  <c r="D88" i="8"/>
  <c r="I87" i="8"/>
  <c r="K87" i="8" s="1"/>
  <c r="D87" i="8"/>
  <c r="I86" i="8"/>
  <c r="K86" i="8" s="1"/>
  <c r="D86" i="8"/>
  <c r="I85" i="8"/>
  <c r="K85" i="8" s="1"/>
  <c r="D85" i="8"/>
  <c r="I84" i="8"/>
  <c r="K84" i="8" s="1"/>
  <c r="D84" i="8"/>
  <c r="I83" i="8"/>
  <c r="K83" i="8" s="1"/>
  <c r="D83" i="8"/>
  <c r="I82" i="8"/>
  <c r="K82" i="8" s="1"/>
  <c r="D82" i="8"/>
  <c r="I81" i="8"/>
  <c r="K81" i="8" s="1"/>
  <c r="D81" i="8"/>
  <c r="I80" i="8"/>
  <c r="K80" i="8" s="1"/>
  <c r="D80" i="8"/>
  <c r="I79" i="8"/>
  <c r="K79" i="8" s="1"/>
  <c r="D79" i="8"/>
  <c r="I78" i="8"/>
  <c r="K78" i="8" s="1"/>
  <c r="D78" i="8"/>
  <c r="I77" i="8"/>
  <c r="K77" i="8" s="1"/>
  <c r="D77" i="8"/>
  <c r="I76" i="8"/>
  <c r="K76" i="8" s="1"/>
  <c r="D76" i="8"/>
  <c r="I75" i="8"/>
  <c r="K75" i="8" s="1"/>
  <c r="D75" i="8"/>
  <c r="I74" i="8"/>
  <c r="K74" i="8" s="1"/>
  <c r="D74" i="8"/>
  <c r="I73" i="8"/>
  <c r="K73" i="8" s="1"/>
  <c r="D73" i="8"/>
  <c r="I72" i="8"/>
  <c r="K72" i="8" s="1"/>
  <c r="D72" i="8"/>
  <c r="I71" i="8"/>
  <c r="K71" i="8" s="1"/>
  <c r="D71" i="8"/>
  <c r="I70" i="8"/>
  <c r="K70" i="8" s="1"/>
  <c r="D70" i="8"/>
  <c r="I69" i="8"/>
  <c r="K69" i="8" s="1"/>
  <c r="D69" i="8"/>
  <c r="I68" i="8"/>
  <c r="K68" i="8" s="1"/>
  <c r="D68" i="8"/>
  <c r="I67" i="8"/>
  <c r="K67" i="8" s="1"/>
  <c r="D67" i="8"/>
  <c r="I66" i="8"/>
  <c r="K66" i="8" s="1"/>
  <c r="D66" i="8"/>
  <c r="I65" i="8"/>
  <c r="K65" i="8" s="1"/>
  <c r="D65" i="8"/>
  <c r="I64" i="8"/>
  <c r="K64" i="8" s="1"/>
  <c r="D64" i="8"/>
  <c r="I63" i="8"/>
  <c r="K63" i="8" s="1"/>
  <c r="D63" i="8"/>
  <c r="I62" i="8"/>
  <c r="K62" i="8" s="1"/>
  <c r="D62" i="8"/>
  <c r="I61" i="8"/>
  <c r="K61" i="8" s="1"/>
  <c r="D61" i="8"/>
  <c r="I60" i="8"/>
  <c r="K60" i="8" s="1"/>
  <c r="D60" i="8"/>
  <c r="I59" i="8"/>
  <c r="K59" i="8" s="1"/>
  <c r="D59" i="8"/>
  <c r="I58" i="8"/>
  <c r="K58" i="8" s="1"/>
  <c r="D58" i="8"/>
  <c r="I57" i="8"/>
  <c r="K57" i="8" s="1"/>
  <c r="D57" i="8"/>
  <c r="I56" i="8"/>
  <c r="K56" i="8" s="1"/>
  <c r="D56" i="8"/>
  <c r="I55" i="8"/>
  <c r="K55" i="8" s="1"/>
  <c r="D55" i="8"/>
  <c r="I54" i="8"/>
  <c r="K54" i="8" s="1"/>
  <c r="D54" i="8"/>
  <c r="I53" i="8"/>
  <c r="K53" i="8" s="1"/>
  <c r="D53" i="8"/>
  <c r="I52" i="8"/>
  <c r="K52" i="8" s="1"/>
  <c r="D52" i="8"/>
  <c r="I51" i="8"/>
  <c r="K51" i="8" s="1"/>
  <c r="D51" i="8"/>
  <c r="I50" i="8"/>
  <c r="K50" i="8" s="1"/>
  <c r="D50" i="8"/>
  <c r="I49" i="8"/>
  <c r="K49" i="8" s="1"/>
  <c r="D49" i="8"/>
  <c r="I48" i="8"/>
  <c r="K48" i="8" s="1"/>
  <c r="D48" i="8"/>
  <c r="I47" i="8"/>
  <c r="K47" i="8" s="1"/>
  <c r="D47" i="8"/>
  <c r="I46" i="8"/>
  <c r="K46" i="8" s="1"/>
  <c r="D46" i="8"/>
  <c r="I45" i="8"/>
  <c r="K45" i="8" s="1"/>
  <c r="D45" i="8"/>
  <c r="I44" i="8"/>
  <c r="K44" i="8" s="1"/>
  <c r="D44" i="8"/>
  <c r="I43" i="8"/>
  <c r="K43" i="8" s="1"/>
  <c r="D43" i="8"/>
  <c r="I42" i="8"/>
  <c r="K42" i="8" s="1"/>
  <c r="D42" i="8"/>
  <c r="I41" i="8"/>
  <c r="K41" i="8" s="1"/>
  <c r="D41" i="8"/>
  <c r="I40" i="8"/>
  <c r="K40" i="8" s="1"/>
  <c r="D40" i="8"/>
  <c r="I39" i="8"/>
  <c r="K39" i="8" s="1"/>
  <c r="D39" i="8"/>
  <c r="I38" i="8"/>
  <c r="K38" i="8" s="1"/>
  <c r="D38" i="8"/>
  <c r="I37" i="8"/>
  <c r="K37" i="8" s="1"/>
  <c r="D37" i="8"/>
  <c r="I36" i="8"/>
  <c r="K36" i="8" s="1"/>
  <c r="D36" i="8"/>
  <c r="I35" i="8"/>
  <c r="K35" i="8" s="1"/>
  <c r="D35" i="8"/>
  <c r="I34" i="8"/>
  <c r="K34" i="8" s="1"/>
  <c r="D34" i="8"/>
  <c r="I33" i="8"/>
  <c r="K33" i="8" s="1"/>
  <c r="D33" i="8"/>
  <c r="I32" i="8"/>
  <c r="K32" i="8" s="1"/>
  <c r="D32" i="8"/>
  <c r="I31" i="8"/>
  <c r="K31" i="8" s="1"/>
  <c r="D31" i="8"/>
  <c r="I30" i="8"/>
  <c r="K30" i="8" s="1"/>
  <c r="D30" i="8"/>
  <c r="I29" i="8"/>
  <c r="K29" i="8" s="1"/>
  <c r="D29" i="8"/>
  <c r="I28" i="8"/>
  <c r="K28" i="8" s="1"/>
  <c r="D28" i="8"/>
  <c r="I27" i="8"/>
  <c r="K27" i="8" s="1"/>
  <c r="D27" i="8"/>
  <c r="I26" i="8"/>
  <c r="K26" i="8" s="1"/>
  <c r="D26" i="8"/>
  <c r="I25" i="8"/>
  <c r="K25" i="8" s="1"/>
  <c r="D25" i="8"/>
  <c r="I24" i="8"/>
  <c r="K24" i="8" s="1"/>
  <c r="D24" i="8"/>
  <c r="I23" i="8"/>
  <c r="K23" i="8" s="1"/>
  <c r="D23" i="8"/>
  <c r="I22" i="8"/>
  <c r="K22" i="8" s="1"/>
  <c r="D22" i="8"/>
  <c r="I21" i="8"/>
  <c r="K21" i="8" s="1"/>
  <c r="D21" i="8"/>
  <c r="I20" i="8"/>
  <c r="K20" i="8" s="1"/>
  <c r="D20" i="8"/>
  <c r="I19" i="8"/>
  <c r="K19" i="8" s="1"/>
  <c r="D19" i="8"/>
  <c r="I18" i="8"/>
  <c r="K18" i="8" s="1"/>
  <c r="D18" i="8"/>
  <c r="I17" i="8"/>
  <c r="K17" i="8" s="1"/>
  <c r="D17" i="8"/>
  <c r="I16" i="8"/>
  <c r="K16" i="8" s="1"/>
  <c r="D16" i="8"/>
  <c r="I15" i="8"/>
  <c r="K15" i="8" s="1"/>
  <c r="D15" i="8"/>
  <c r="I14" i="8"/>
  <c r="K14" i="8" s="1"/>
  <c r="D14" i="8"/>
  <c r="I13" i="8"/>
  <c r="K13" i="8" s="1"/>
  <c r="D13" i="8"/>
  <c r="I12" i="8"/>
  <c r="K12" i="8" s="1"/>
  <c r="D12" i="8"/>
  <c r="I11" i="8"/>
  <c r="K11" i="8" s="1"/>
  <c r="D11" i="8"/>
  <c r="I10" i="8"/>
  <c r="K10" i="8" s="1"/>
  <c r="D10" i="8"/>
  <c r="I9" i="8"/>
  <c r="K9" i="8" s="1"/>
  <c r="D9" i="8"/>
  <c r="I8" i="8"/>
  <c r="K8" i="8" s="1"/>
  <c r="D8" i="8"/>
  <c r="I7" i="8"/>
  <c r="K7" i="8" s="1"/>
  <c r="D7" i="8"/>
  <c r="I6" i="8"/>
  <c r="K6" i="8" s="1"/>
  <c r="D6" i="8"/>
  <c r="I5" i="8"/>
  <c r="K5" i="8" s="1"/>
  <c r="D5" i="8"/>
  <c r="I4" i="8"/>
  <c r="K4" i="8" s="1"/>
  <c r="D4" i="8"/>
  <c r="I3" i="8"/>
  <c r="K153" i="8" s="1"/>
  <c r="D3" i="8"/>
  <c r="I2" i="8"/>
  <c r="G65" i="8" s="1"/>
  <c r="D2" i="8"/>
  <c r="K3" i="8" l="1"/>
  <c r="G15" i="8"/>
  <c r="F22" i="8"/>
  <c r="G2" i="8"/>
  <c r="F12" i="8"/>
  <c r="G26" i="8"/>
  <c r="G29" i="8"/>
  <c r="F42" i="8"/>
  <c r="F10" i="8"/>
  <c r="G23" i="8"/>
  <c r="F2" i="8"/>
  <c r="G4" i="8"/>
  <c r="G13" i="8"/>
  <c r="F15" i="8"/>
  <c r="G17" i="8"/>
  <c r="F26" i="8"/>
  <c r="F31" i="8"/>
  <c r="G41" i="8"/>
  <c r="F46" i="8"/>
  <c r="F54" i="8"/>
  <c r="F62" i="8"/>
  <c r="G5" i="8"/>
  <c r="F7" i="8"/>
  <c r="G9" i="8"/>
  <c r="F18" i="8"/>
  <c r="G34" i="8"/>
  <c r="F39" i="8"/>
  <c r="G49" i="8"/>
  <c r="G57" i="8"/>
  <c r="F148" i="8"/>
  <c r="G143" i="8"/>
  <c r="F140" i="8"/>
  <c r="G135" i="8"/>
  <c r="F132" i="8"/>
  <c r="G127" i="8"/>
  <c r="F124" i="8"/>
  <c r="G119" i="8"/>
  <c r="F116" i="8"/>
  <c r="G111" i="8"/>
  <c r="F108" i="8"/>
  <c r="G103" i="8"/>
  <c r="F100" i="8"/>
  <c r="G95" i="8"/>
  <c r="F92" i="8"/>
  <c r="G87" i="8"/>
  <c r="F84" i="8"/>
  <c r="G79" i="8"/>
  <c r="F76" i="8"/>
  <c r="G71" i="8"/>
  <c r="F68" i="8"/>
  <c r="G63" i="8"/>
  <c r="F60" i="8"/>
  <c r="G55" i="8"/>
  <c r="F52" i="8"/>
  <c r="G47" i="8"/>
  <c r="F44" i="8"/>
  <c r="G39" i="8"/>
  <c r="F36" i="8"/>
  <c r="G31" i="8"/>
  <c r="F28" i="8"/>
  <c r="G146" i="8"/>
  <c r="F143" i="8"/>
  <c r="G138" i="8"/>
  <c r="F135" i="8"/>
  <c r="G130" i="8"/>
  <c r="F127" i="8"/>
  <c r="G122" i="8"/>
  <c r="F119" i="8"/>
  <c r="G114" i="8"/>
  <c r="F111" i="8"/>
  <c r="G106" i="8"/>
  <c r="F103" i="8"/>
  <c r="G98" i="8"/>
  <c r="F95" i="8"/>
  <c r="G90" i="8"/>
  <c r="F87" i="8"/>
  <c r="G82" i="8"/>
  <c r="F79" i="8"/>
  <c r="G74" i="8"/>
  <c r="F71" i="8"/>
  <c r="G66" i="8"/>
  <c r="F63" i="8"/>
  <c r="G58" i="8"/>
  <c r="F55" i="8"/>
  <c r="G50" i="8"/>
  <c r="F47" i="8"/>
  <c r="G153" i="8"/>
  <c r="G151" i="8"/>
  <c r="G149" i="8"/>
  <c r="F146" i="8"/>
  <c r="G141" i="8"/>
  <c r="F138" i="8"/>
  <c r="G133" i="8"/>
  <c r="F130" i="8"/>
  <c r="G125" i="8"/>
  <c r="F122" i="8"/>
  <c r="G117" i="8"/>
  <c r="F114" i="8"/>
  <c r="G109" i="8"/>
  <c r="F106" i="8"/>
  <c r="G101" i="8"/>
  <c r="F98" i="8"/>
  <c r="G93" i="8"/>
  <c r="F90" i="8"/>
  <c r="G85" i="8"/>
  <c r="F82" i="8"/>
  <c r="G77" i="8"/>
  <c r="F74" i="8"/>
  <c r="G69" i="8"/>
  <c r="F66" i="8"/>
  <c r="F153" i="8"/>
  <c r="F151" i="8"/>
  <c r="F149" i="8"/>
  <c r="G144" i="8"/>
  <c r="F141" i="8"/>
  <c r="G136" i="8"/>
  <c r="F133" i="8"/>
  <c r="G128" i="8"/>
  <c r="F125" i="8"/>
  <c r="G120" i="8"/>
  <c r="F117" i="8"/>
  <c r="G112" i="8"/>
  <c r="F109" i="8"/>
  <c r="G104" i="8"/>
  <c r="F101" i="8"/>
  <c r="G96" i="8"/>
  <c r="F93" i="8"/>
  <c r="G88" i="8"/>
  <c r="F85" i="8"/>
  <c r="G80" i="8"/>
  <c r="F77" i="8"/>
  <c r="G72" i="8"/>
  <c r="F69" i="8"/>
  <c r="G64" i="8"/>
  <c r="F61" i="8"/>
  <c r="G56" i="8"/>
  <c r="F53" i="8"/>
  <c r="G48" i="8"/>
  <c r="F45" i="8"/>
  <c r="G40" i="8"/>
  <c r="F37" i="8"/>
  <c r="G32" i="8"/>
  <c r="F29" i="8"/>
  <c r="G24" i="8"/>
  <c r="F21" i="8"/>
  <c r="G16" i="8"/>
  <c r="F13" i="8"/>
  <c r="G8" i="8"/>
  <c r="F5" i="8"/>
  <c r="G30" i="8"/>
  <c r="F27" i="8"/>
  <c r="F19" i="8"/>
  <c r="G14" i="8"/>
  <c r="F11" i="8"/>
  <c r="F3" i="8"/>
  <c r="G152" i="8"/>
  <c r="G147" i="8"/>
  <c r="F144" i="8"/>
  <c r="G139" i="8"/>
  <c r="F136" i="8"/>
  <c r="G131" i="8"/>
  <c r="F128" i="8"/>
  <c r="G123" i="8"/>
  <c r="F120" i="8"/>
  <c r="G115" i="8"/>
  <c r="F112" i="8"/>
  <c r="G107" i="8"/>
  <c r="F104" i="8"/>
  <c r="G99" i="8"/>
  <c r="F96" i="8"/>
  <c r="G91" i="8"/>
  <c r="F88" i="8"/>
  <c r="G83" i="8"/>
  <c r="F80" i="8"/>
  <c r="G75" i="8"/>
  <c r="F72" i="8"/>
  <c r="G67" i="8"/>
  <c r="F64" i="8"/>
  <c r="G59" i="8"/>
  <c r="F56" i="8"/>
  <c r="G51" i="8"/>
  <c r="F48" i="8"/>
  <c r="G43" i="8"/>
  <c r="F40" i="8"/>
  <c r="G35" i="8"/>
  <c r="F32" i="8"/>
  <c r="G27" i="8"/>
  <c r="F24" i="8"/>
  <c r="G19" i="8"/>
  <c r="F16" i="8"/>
  <c r="G11" i="8"/>
  <c r="F8" i="8"/>
  <c r="G3" i="8"/>
  <c r="G38" i="8"/>
  <c r="F35" i="8"/>
  <c r="G22" i="8"/>
  <c r="G6" i="8"/>
  <c r="G150" i="8"/>
  <c r="G145" i="8"/>
  <c r="F142" i="8"/>
  <c r="G137" i="8"/>
  <c r="F134" i="8"/>
  <c r="G129" i="8"/>
  <c r="F126" i="8"/>
  <c r="G121" i="8"/>
  <c r="F118" i="8"/>
  <c r="G113" i="8"/>
  <c r="F110" i="8"/>
  <c r="G105" i="8"/>
  <c r="F102" i="8"/>
  <c r="G97" i="8"/>
  <c r="F94" i="8"/>
  <c r="G89" i="8"/>
  <c r="F86" i="8"/>
  <c r="G81" i="8"/>
  <c r="F78" i="8"/>
  <c r="G73" i="8"/>
  <c r="F70" i="8"/>
  <c r="F147" i="8"/>
  <c r="G142" i="8"/>
  <c r="F139" i="8"/>
  <c r="G134" i="8"/>
  <c r="F131" i="8"/>
  <c r="G126" i="8"/>
  <c r="F123" i="8"/>
  <c r="G118" i="8"/>
  <c r="F115" i="8"/>
  <c r="G110" i="8"/>
  <c r="F107" i="8"/>
  <c r="G102" i="8"/>
  <c r="F99" i="8"/>
  <c r="G94" i="8"/>
  <c r="F91" i="8"/>
  <c r="G86" i="8"/>
  <c r="F83" i="8"/>
  <c r="G78" i="8"/>
  <c r="F75" i="8"/>
  <c r="G70" i="8"/>
  <c r="F67" i="8"/>
  <c r="G62" i="8"/>
  <c r="F59" i="8"/>
  <c r="G54" i="8"/>
  <c r="F51" i="8"/>
  <c r="G46" i="8"/>
  <c r="F43" i="8"/>
  <c r="F152" i="8"/>
  <c r="F150" i="8"/>
  <c r="G148" i="8"/>
  <c r="F145" i="8"/>
  <c r="G140" i="8"/>
  <c r="F137" i="8"/>
  <c r="G132" i="8"/>
  <c r="F129" i="8"/>
  <c r="G124" i="8"/>
  <c r="F121" i="8"/>
  <c r="G116" i="8"/>
  <c r="F113" i="8"/>
  <c r="G108" i="8"/>
  <c r="F105" i="8"/>
  <c r="G100" i="8"/>
  <c r="F97" i="8"/>
  <c r="G92" i="8"/>
  <c r="F89" i="8"/>
  <c r="G84" i="8"/>
  <c r="F81" i="8"/>
  <c r="G76" i="8"/>
  <c r="F73" i="8"/>
  <c r="G68" i="8"/>
  <c r="F65" i="8"/>
  <c r="G60" i="8"/>
  <c r="F57" i="8"/>
  <c r="G52" i="8"/>
  <c r="F49" i="8"/>
  <c r="G44" i="8"/>
  <c r="F41" i="8"/>
  <c r="G36" i="8"/>
  <c r="F33" i="8"/>
  <c r="G28" i="8"/>
  <c r="F25" i="8"/>
  <c r="G20" i="8"/>
  <c r="F17" i="8"/>
  <c r="G12" i="8"/>
  <c r="F9" i="8"/>
  <c r="F20" i="8"/>
  <c r="F34" i="8"/>
  <c r="G7" i="8"/>
  <c r="F14" i="8"/>
  <c r="G18" i="8"/>
  <c r="F30" i="8"/>
  <c r="G37" i="8"/>
  <c r="G42" i="8"/>
  <c r="F50" i="8"/>
  <c r="F58" i="8"/>
  <c r="G21" i="8"/>
  <c r="F23" i="8"/>
  <c r="G25" i="8"/>
  <c r="F4" i="8"/>
  <c r="F6" i="8"/>
  <c r="G10" i="8"/>
  <c r="G33" i="8"/>
  <c r="F38" i="8"/>
  <c r="G45" i="8"/>
  <c r="G53" i="8"/>
  <c r="G61" i="8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149" i="3"/>
  <c r="H3" i="3" l="1"/>
  <c r="F2" i="3"/>
  <c r="C2" i="3" s="1"/>
  <c r="D160" i="3" l="1"/>
  <c r="C160" i="3"/>
  <c r="D151" i="3"/>
  <c r="D159" i="3"/>
  <c r="D152" i="3"/>
  <c r="D156" i="3"/>
  <c r="D157" i="3"/>
  <c r="D150" i="3"/>
  <c r="D153" i="3"/>
  <c r="D154" i="3"/>
  <c r="D155" i="3"/>
  <c r="D158" i="3"/>
  <c r="C3" i="3"/>
  <c r="C11" i="3"/>
  <c r="C19" i="3"/>
  <c r="C27" i="3"/>
  <c r="C35" i="3"/>
  <c r="C43" i="3"/>
  <c r="C51" i="3"/>
  <c r="C58" i="3"/>
  <c r="C66" i="3"/>
  <c r="C73" i="3"/>
  <c r="C80" i="3"/>
  <c r="C88" i="3"/>
  <c r="C96" i="3"/>
  <c r="C104" i="3"/>
  <c r="C112" i="3"/>
  <c r="C120" i="3"/>
  <c r="C128" i="3"/>
  <c r="C136" i="3"/>
  <c r="C144" i="3"/>
  <c r="C159" i="3"/>
  <c r="C8" i="3"/>
  <c r="C63" i="3"/>
  <c r="C78" i="3"/>
  <c r="C93" i="3"/>
  <c r="C133" i="3"/>
  <c r="C156" i="3"/>
  <c r="C17" i="3"/>
  <c r="C64" i="3"/>
  <c r="C79" i="3"/>
  <c r="C102" i="3"/>
  <c r="C142" i="3"/>
  <c r="C4" i="3"/>
  <c r="C12" i="3"/>
  <c r="C20" i="3"/>
  <c r="C28" i="3"/>
  <c r="C36" i="3"/>
  <c r="C44" i="3"/>
  <c r="C52" i="3"/>
  <c r="C59" i="3"/>
  <c r="C67" i="3"/>
  <c r="C74" i="3"/>
  <c r="C81" i="3"/>
  <c r="C89" i="3"/>
  <c r="C97" i="3"/>
  <c r="C105" i="3"/>
  <c r="C113" i="3"/>
  <c r="C121" i="3"/>
  <c r="C129" i="3"/>
  <c r="C137" i="3"/>
  <c r="C152" i="3"/>
  <c r="C132" i="3"/>
  <c r="C40" i="3"/>
  <c r="C101" i="3"/>
  <c r="C49" i="3"/>
  <c r="C126" i="3"/>
  <c r="C5" i="3"/>
  <c r="C13" i="3"/>
  <c r="C21" i="3"/>
  <c r="C29" i="3"/>
  <c r="C37" i="3"/>
  <c r="C45" i="3"/>
  <c r="C60" i="3"/>
  <c r="C68" i="3"/>
  <c r="C75" i="3"/>
  <c r="C82" i="3"/>
  <c r="C90" i="3"/>
  <c r="C98" i="3"/>
  <c r="C106" i="3"/>
  <c r="C114" i="3"/>
  <c r="C122" i="3"/>
  <c r="C130" i="3"/>
  <c r="C138" i="3"/>
  <c r="C145" i="3"/>
  <c r="C153" i="3"/>
  <c r="C140" i="3"/>
  <c r="C24" i="3"/>
  <c r="C55" i="3"/>
  <c r="C70" i="3"/>
  <c r="C85" i="3"/>
  <c r="C109" i="3"/>
  <c r="C141" i="3"/>
  <c r="C9" i="3"/>
  <c r="C56" i="3"/>
  <c r="C86" i="3"/>
  <c r="C118" i="3"/>
  <c r="C157" i="3"/>
  <c r="C6" i="3"/>
  <c r="C14" i="3"/>
  <c r="C22" i="3"/>
  <c r="C30" i="3"/>
  <c r="C38" i="3"/>
  <c r="C46" i="3"/>
  <c r="C53" i="3"/>
  <c r="C61" i="3"/>
  <c r="C69" i="3"/>
  <c r="C76" i="3"/>
  <c r="C83" i="3"/>
  <c r="C91" i="3"/>
  <c r="C99" i="3"/>
  <c r="C107" i="3"/>
  <c r="C115" i="3"/>
  <c r="C123" i="3"/>
  <c r="C131" i="3"/>
  <c r="C139" i="3"/>
  <c r="C146" i="3"/>
  <c r="C154" i="3"/>
  <c r="C116" i="3"/>
  <c r="C155" i="3"/>
  <c r="C32" i="3"/>
  <c r="C117" i="3"/>
  <c r="C25" i="3"/>
  <c r="C94" i="3"/>
  <c r="C149" i="3"/>
  <c r="C7" i="3"/>
  <c r="C15" i="3"/>
  <c r="C23" i="3"/>
  <c r="C31" i="3"/>
  <c r="C39" i="3"/>
  <c r="C47" i="3"/>
  <c r="C54" i="3"/>
  <c r="C62" i="3"/>
  <c r="C77" i="3"/>
  <c r="C84" i="3"/>
  <c r="C92" i="3"/>
  <c r="C100" i="3"/>
  <c r="C108" i="3"/>
  <c r="C124" i="3"/>
  <c r="C48" i="3"/>
  <c r="C125" i="3"/>
  <c r="C41" i="3"/>
  <c r="C134" i="3"/>
  <c r="C10" i="3"/>
  <c r="C18" i="3"/>
  <c r="C26" i="3"/>
  <c r="C34" i="3"/>
  <c r="C42" i="3"/>
  <c r="C50" i="3"/>
  <c r="C57" i="3"/>
  <c r="C65" i="3"/>
  <c r="C72" i="3"/>
  <c r="C87" i="3"/>
  <c r="C95" i="3"/>
  <c r="C103" i="3"/>
  <c r="C111" i="3"/>
  <c r="C119" i="3"/>
  <c r="C127" i="3"/>
  <c r="C135" i="3"/>
  <c r="C143" i="3"/>
  <c r="C150" i="3"/>
  <c r="C158" i="3"/>
  <c r="C151" i="3"/>
  <c r="C147" i="3"/>
  <c r="C16" i="3"/>
  <c r="C148" i="3"/>
  <c r="C33" i="3"/>
  <c r="C71" i="3"/>
  <c r="C110" i="3"/>
  <c r="D146" i="3"/>
  <c r="D147" i="3"/>
  <c r="D148" i="3"/>
  <c r="D149" i="3"/>
  <c r="D137" i="3"/>
  <c r="D67" i="3"/>
  <c r="D119" i="3"/>
  <c r="D95" i="3"/>
  <c r="D72" i="3"/>
  <c r="D42" i="3"/>
  <c r="D18" i="3"/>
  <c r="D142" i="3"/>
  <c r="D110" i="3"/>
  <c r="D94" i="3"/>
  <c r="D86" i="3"/>
  <c r="D79" i="3"/>
  <c r="D71" i="3"/>
  <c r="D64" i="3"/>
  <c r="D56" i="3"/>
  <c r="D49" i="3"/>
  <c r="D41" i="3"/>
  <c r="D33" i="3"/>
  <c r="D25" i="3"/>
  <c r="D17" i="3"/>
  <c r="D9" i="3"/>
  <c r="D129" i="3"/>
  <c r="D97" i="3"/>
  <c r="D143" i="3"/>
  <c r="D103" i="3"/>
  <c r="D65" i="3"/>
  <c r="D26" i="3"/>
  <c r="D118" i="3"/>
  <c r="D141" i="3"/>
  <c r="D125" i="3"/>
  <c r="D93" i="3"/>
  <c r="D70" i="3"/>
  <c r="D63" i="3"/>
  <c r="D55" i="3"/>
  <c r="D40" i="3"/>
  <c r="D24" i="3"/>
  <c r="D16" i="3"/>
  <c r="D8" i="3"/>
  <c r="D113" i="3"/>
  <c r="D89" i="3"/>
  <c r="D135" i="3"/>
  <c r="D111" i="3"/>
  <c r="D50" i="3"/>
  <c r="D10" i="3"/>
  <c r="D134" i="3"/>
  <c r="D102" i="3"/>
  <c r="D133" i="3"/>
  <c r="D109" i="3"/>
  <c r="D101" i="3"/>
  <c r="D78" i="3"/>
  <c r="D48" i="3"/>
  <c r="D140" i="3"/>
  <c r="D124" i="3"/>
  <c r="D116" i="3"/>
  <c r="D100" i="3"/>
  <c r="D92" i="3"/>
  <c r="D84" i="3"/>
  <c r="D77" i="3"/>
  <c r="D62" i="3"/>
  <c r="D54" i="3"/>
  <c r="D47" i="3"/>
  <c r="D39" i="3"/>
  <c r="D31" i="3"/>
  <c r="D23" i="3"/>
  <c r="D15" i="3"/>
  <c r="D7" i="3"/>
  <c r="D139" i="3"/>
  <c r="D131" i="3"/>
  <c r="D123" i="3"/>
  <c r="D115" i="3"/>
  <c r="D107" i="3"/>
  <c r="D99" i="3"/>
  <c r="D91" i="3"/>
  <c r="D83" i="3"/>
  <c r="D76" i="3"/>
  <c r="D69" i="3"/>
  <c r="D61" i="3"/>
  <c r="D53" i="3"/>
  <c r="D46" i="3"/>
  <c r="D38" i="3"/>
  <c r="D30" i="3"/>
  <c r="D22" i="3"/>
  <c r="D14" i="3"/>
  <c r="D6" i="3"/>
  <c r="D81" i="3"/>
  <c r="D127" i="3"/>
  <c r="D87" i="3"/>
  <c r="D57" i="3"/>
  <c r="D34" i="3"/>
  <c r="D126" i="3"/>
  <c r="D117" i="3"/>
  <c r="D85" i="3"/>
  <c r="D32" i="3"/>
  <c r="D132" i="3"/>
  <c r="D108" i="3"/>
  <c r="D145" i="3"/>
  <c r="D138" i="3"/>
  <c r="D130" i="3"/>
  <c r="D122" i="3"/>
  <c r="D114" i="3"/>
  <c r="D106" i="3"/>
  <c r="D98" i="3"/>
  <c r="D90" i="3"/>
  <c r="D82" i="3"/>
  <c r="D75" i="3"/>
  <c r="D68" i="3"/>
  <c r="D60" i="3"/>
  <c r="D45" i="3"/>
  <c r="D37" i="3"/>
  <c r="D29" i="3"/>
  <c r="D21" i="3"/>
  <c r="D13" i="3"/>
  <c r="D5" i="3"/>
  <c r="D59" i="3"/>
  <c r="D12" i="3"/>
  <c r="D121" i="3"/>
  <c r="D105" i="3"/>
  <c r="D74" i="3"/>
  <c r="D52" i="3"/>
  <c r="D44" i="3"/>
  <c r="D36" i="3"/>
  <c r="D28" i="3"/>
  <c r="D20" i="3"/>
  <c r="D4" i="3"/>
  <c r="D144" i="3"/>
  <c r="D136" i="3"/>
  <c r="D128" i="3"/>
  <c r="D120" i="3"/>
  <c r="D112" i="3"/>
  <c r="D104" i="3"/>
  <c r="D96" i="3"/>
  <c r="D88" i="3"/>
  <c r="D80" i="3"/>
  <c r="D73" i="3"/>
  <c r="D66" i="3"/>
  <c r="D58" i="3"/>
  <c r="D51" i="3"/>
  <c r="D43" i="3"/>
  <c r="D35" i="3"/>
  <c r="D27" i="3"/>
  <c r="D19" i="3"/>
  <c r="D11" i="3"/>
  <c r="D3" i="3"/>
  <c r="D2" i="3"/>
  <c r="C1" i="1" l="1"/>
  <c r="B165" i="6" l="1"/>
  <c r="B119" i="6"/>
  <c r="B112" i="6"/>
  <c r="B38" i="6"/>
  <c r="B167" i="6"/>
  <c r="B78" i="6"/>
  <c r="B147" i="6"/>
  <c r="B68" i="6"/>
  <c r="B69" i="6"/>
  <c r="B98" i="6"/>
  <c r="B139" i="6"/>
  <c r="B74" i="6"/>
  <c r="B45" i="6"/>
  <c r="B103" i="6"/>
  <c r="B87" i="6"/>
  <c r="B106" i="6"/>
  <c r="B8" i="6"/>
  <c r="B110" i="6"/>
  <c r="B161" i="6"/>
  <c r="B3" i="6"/>
  <c r="B75" i="6"/>
  <c r="B53" i="6"/>
  <c r="B131" i="6"/>
  <c r="B58" i="6"/>
  <c r="B11" i="6"/>
  <c r="B160" i="6"/>
  <c r="B35" i="6"/>
  <c r="B109" i="6"/>
  <c r="B95" i="6"/>
  <c r="B107" i="6"/>
  <c r="B71" i="6"/>
  <c r="B6" i="6"/>
  <c r="B25" i="6"/>
  <c r="B101" i="6"/>
  <c r="B115" i="6"/>
  <c r="B65" i="6"/>
  <c r="B26" i="6"/>
  <c r="B149" i="6"/>
  <c r="B130" i="6"/>
  <c r="B17" i="6"/>
  <c r="B48" i="6"/>
  <c r="B105" i="6"/>
  <c r="B168" i="6"/>
  <c r="B91" i="6"/>
  <c r="B15" i="6"/>
  <c r="B5" i="6"/>
  <c r="B14" i="6"/>
  <c r="B83" i="6"/>
  <c r="B99" i="6"/>
  <c r="B123" i="6"/>
  <c r="B34" i="6"/>
  <c r="B170" i="6"/>
  <c r="B10" i="6"/>
  <c r="B128" i="6"/>
  <c r="B62" i="6"/>
  <c r="B23" i="6"/>
  <c r="B96" i="6"/>
  <c r="B136" i="6"/>
  <c r="B31" i="6"/>
  <c r="B146" i="6"/>
  <c r="B7" i="6"/>
  <c r="B148" i="6"/>
  <c r="B56" i="6"/>
  <c r="B124" i="6"/>
  <c r="B51" i="6"/>
  <c r="B118" i="6"/>
  <c r="B137" i="6"/>
  <c r="B37" i="6"/>
  <c r="B173" i="6"/>
  <c r="B104" i="6"/>
  <c r="B43" i="6"/>
  <c r="B144" i="6"/>
  <c r="B55" i="6"/>
  <c r="B132" i="6"/>
  <c r="B66" i="6"/>
  <c r="B145" i="6"/>
  <c r="B19" i="6"/>
  <c r="B114" i="6"/>
  <c r="B59" i="6"/>
  <c r="B153" i="6"/>
  <c r="B61" i="6"/>
  <c r="B121" i="6"/>
  <c r="B64" i="6"/>
  <c r="B120" i="6"/>
  <c r="B166" i="6"/>
  <c r="B152" i="6"/>
  <c r="B141" i="6"/>
  <c r="B76" i="6"/>
  <c r="B82" i="6"/>
  <c r="B116" i="6"/>
  <c r="B27" i="6"/>
  <c r="B111" i="6"/>
  <c r="B67" i="6"/>
  <c r="B125" i="6"/>
  <c r="B42" i="6"/>
  <c r="B94" i="6"/>
  <c r="B47" i="6"/>
  <c r="B50" i="6"/>
  <c r="B72" i="6"/>
  <c r="B143" i="6"/>
  <c r="B169" i="6"/>
  <c r="B150" i="6"/>
  <c r="B84" i="6"/>
  <c r="B79" i="6"/>
  <c r="B60" i="6"/>
  <c r="B77" i="6"/>
  <c r="B156" i="6"/>
  <c r="B73" i="6"/>
  <c r="B28" i="6"/>
  <c r="B113" i="6"/>
  <c r="B40" i="6"/>
  <c r="B16" i="6"/>
  <c r="B134" i="6"/>
  <c r="B21" i="6"/>
  <c r="B158" i="6"/>
  <c r="B108" i="6"/>
  <c r="B80" i="6"/>
  <c r="B44" i="6"/>
  <c r="B127" i="6"/>
  <c r="B81" i="6"/>
  <c r="B164" i="6"/>
  <c r="B12" i="6"/>
  <c r="B97" i="6"/>
  <c r="B13" i="6"/>
  <c r="B36" i="6"/>
  <c r="B90" i="6"/>
  <c r="B32" i="6"/>
  <c r="B142" i="6"/>
  <c r="B20" i="6"/>
  <c r="B2" i="6"/>
  <c r="B29" i="6"/>
  <c r="B100" i="6"/>
  <c r="B39" i="6"/>
  <c r="B129" i="6"/>
  <c r="B46" i="6"/>
  <c r="B33" i="6"/>
  <c r="B171" i="6"/>
  <c r="B172" i="6"/>
  <c r="B102" i="6"/>
  <c r="B4" i="6"/>
  <c r="B18" i="6"/>
  <c r="B88" i="6"/>
  <c r="B89" i="6"/>
  <c r="B24" i="6"/>
  <c r="B135" i="6"/>
  <c r="B154" i="6"/>
  <c r="B54" i="6"/>
  <c r="B9" i="6"/>
  <c r="B92" i="6"/>
  <c r="B63" i="6"/>
  <c r="B151" i="6"/>
  <c r="B85" i="6"/>
  <c r="B117" i="6"/>
  <c r="B140" i="6"/>
  <c r="B157" i="6"/>
  <c r="B57" i="6"/>
  <c r="B93" i="6"/>
  <c r="B52" i="6"/>
  <c r="B138" i="6"/>
  <c r="B22" i="6"/>
  <c r="B163" i="6"/>
  <c r="B126" i="6"/>
  <c r="B162" i="6"/>
  <c r="B86" i="6"/>
  <c r="B122" i="6"/>
  <c r="B49" i="6"/>
  <c r="B70" i="6"/>
  <c r="B41" i="6"/>
  <c r="B155" i="6"/>
  <c r="B159" i="6"/>
  <c r="B30" i="6"/>
  <c r="B13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21" authorId="0" shapeId="0" xr:uid="{DB41A9E6-AE60-472B-9D3A-B72A9677F107}">
      <text>
        <r>
          <rPr>
            <b/>
            <sz val="9"/>
            <rFont val="宋体"/>
            <family val="3"/>
            <charset val="134"/>
          </rPr>
          <t xml:space="preserve">洛阳刘曼
</t>
        </r>
      </text>
    </comment>
    <comment ref="H29" authorId="0" shapeId="0" xr:uid="{A695FE2C-BA01-487E-8CB3-B361CC6D4C28}">
      <text>
        <r>
          <rPr>
            <b/>
            <sz val="9"/>
            <rFont val="宋体"/>
            <family val="3"/>
            <charset val="134"/>
          </rPr>
          <t>艾店长</t>
        </r>
      </text>
    </comment>
    <comment ref="H30" authorId="0" shapeId="0" xr:uid="{709AD941-E3A8-4E94-9EB5-B47A66B984E2}">
      <text>
        <r>
          <rPr>
            <b/>
            <sz val="9"/>
            <rFont val="宋体"/>
            <family val="3"/>
            <charset val="134"/>
          </rPr>
          <t>萌萌</t>
        </r>
      </text>
    </comment>
    <comment ref="H33" authorId="0" shapeId="0" xr:uid="{4F567A7A-AB8B-4E51-9129-4F08A2A28FAB}">
      <text>
        <r>
          <rPr>
            <b/>
            <sz val="9"/>
            <rFont val="Tahoma"/>
            <family val="2"/>
          </rPr>
          <t>455754428@qq</t>
        </r>
        <r>
          <rPr>
            <b/>
            <sz val="9"/>
            <rFont val="宋体"/>
            <family val="3"/>
            <charset val="134"/>
          </rPr>
          <t>。</t>
        </r>
        <r>
          <rPr>
            <b/>
            <sz val="9"/>
            <rFont val="Tahoma"/>
            <family val="2"/>
          </rPr>
          <t>com</t>
        </r>
        <r>
          <rPr>
            <b/>
            <sz val="9"/>
            <rFont val="宋体"/>
            <family val="3"/>
            <charset val="134"/>
          </rPr>
          <t>郭艳芳</t>
        </r>
      </text>
    </comment>
  </commentList>
</comments>
</file>

<file path=xl/sharedStrings.xml><?xml version="1.0" encoding="utf-8"?>
<sst xmlns="http://schemas.openxmlformats.org/spreadsheetml/2006/main" count="2524" uniqueCount="1200">
  <si>
    <t>文件名称</t>
    <phoneticPr fontId="1" type="noConversion"/>
  </si>
  <si>
    <t>文件个数</t>
    <phoneticPr fontId="1" type="noConversion"/>
  </si>
  <si>
    <t>Bat文件</t>
    <phoneticPr fontId="1" type="noConversion"/>
  </si>
  <si>
    <t>文件名</t>
    <phoneticPr fontId="1" type="noConversion"/>
  </si>
  <si>
    <t>9001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</si>
  <si>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</si>
  <si>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</si>
  <si>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</si>
  <si>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</si>
  <si>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</si>
  <si>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</si>
  <si>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</si>
  <si>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</si>
  <si>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</si>
  <si>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</si>
  <si>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</si>
  <si>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</si>
  <si>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</si>
  <si>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9021</t>
  </si>
  <si>
    <t>9023</t>
  </si>
  <si>
    <t>9024</t>
  </si>
  <si>
    <t>9025</t>
  </si>
  <si>
    <t>9028</t>
  </si>
  <si>
    <t>9030</t>
  </si>
  <si>
    <t>9031</t>
  </si>
  <si>
    <t>9034</t>
  </si>
  <si>
    <t>9035</t>
  </si>
  <si>
    <t>9036</t>
  </si>
  <si>
    <t>9037</t>
  </si>
  <si>
    <t>9038</t>
  </si>
  <si>
    <t>9039</t>
  </si>
  <si>
    <t>9040</t>
  </si>
  <si>
    <t>9042</t>
  </si>
  <si>
    <t>9043</t>
  </si>
  <si>
    <t>9044</t>
  </si>
  <si>
    <t>9046</t>
  </si>
  <si>
    <t>9047</t>
  </si>
  <si>
    <t>9049</t>
  </si>
  <si>
    <t>9050</t>
  </si>
  <si>
    <t>9052</t>
  </si>
  <si>
    <t>9053</t>
  </si>
  <si>
    <t>9054</t>
  </si>
  <si>
    <t>9055</t>
  </si>
  <si>
    <t>9056</t>
  </si>
  <si>
    <t>9057</t>
  </si>
  <si>
    <t>9058</t>
  </si>
  <si>
    <t>9059</t>
  </si>
  <si>
    <t>9065</t>
  </si>
  <si>
    <t>9067</t>
  </si>
  <si>
    <t>9069</t>
  </si>
  <si>
    <t>9071</t>
  </si>
  <si>
    <t>9072</t>
  </si>
  <si>
    <t>9073</t>
  </si>
  <si>
    <t>9074</t>
  </si>
  <si>
    <t>9075</t>
  </si>
  <si>
    <t>9076</t>
  </si>
  <si>
    <t>9084</t>
  </si>
  <si>
    <t>9085</t>
  </si>
  <si>
    <t>9086</t>
  </si>
  <si>
    <t>9087</t>
  </si>
  <si>
    <t>9088</t>
  </si>
  <si>
    <t>9089</t>
  </si>
  <si>
    <t>9090</t>
  </si>
  <si>
    <t>9091</t>
  </si>
  <si>
    <t>9092</t>
  </si>
  <si>
    <t>9095</t>
  </si>
  <si>
    <t>9096</t>
  </si>
  <si>
    <t>9097</t>
  </si>
  <si>
    <t>9098</t>
  </si>
  <si>
    <t>9100</t>
  </si>
  <si>
    <t>9101</t>
  </si>
  <si>
    <t>9103</t>
  </si>
  <si>
    <t>9104</t>
  </si>
  <si>
    <t>9105</t>
  </si>
  <si>
    <t>9106</t>
  </si>
  <si>
    <t>9107</t>
  </si>
  <si>
    <t>9111</t>
  </si>
  <si>
    <t>9112</t>
  </si>
  <si>
    <t>9113</t>
  </si>
  <si>
    <t>9114</t>
  </si>
  <si>
    <t>9115</t>
  </si>
  <si>
    <t>9116</t>
  </si>
  <si>
    <t>9117</t>
  </si>
  <si>
    <t>9118</t>
  </si>
  <si>
    <t>9119</t>
  </si>
  <si>
    <t>9121</t>
  </si>
  <si>
    <t>9125</t>
  </si>
  <si>
    <t>9127</t>
  </si>
  <si>
    <t>9128</t>
  </si>
  <si>
    <t>9129</t>
  </si>
  <si>
    <t>9130</t>
  </si>
  <si>
    <t>9132</t>
  </si>
  <si>
    <t>9133</t>
  </si>
  <si>
    <t>9134</t>
  </si>
  <si>
    <t>9135</t>
  </si>
  <si>
    <t>9137</t>
  </si>
  <si>
    <t>9138</t>
  </si>
  <si>
    <t>9139</t>
  </si>
  <si>
    <t>9140</t>
  </si>
  <si>
    <t>9141</t>
  </si>
  <si>
    <t>9144</t>
  </si>
  <si>
    <t>9145</t>
  </si>
  <si>
    <t>9146</t>
  </si>
  <si>
    <t>9147</t>
  </si>
  <si>
    <t>9148</t>
  </si>
  <si>
    <t>9149</t>
  </si>
  <si>
    <t>9150</t>
  </si>
  <si>
    <t>9151</t>
  </si>
  <si>
    <t>9152</t>
  </si>
  <si>
    <t>9153</t>
  </si>
  <si>
    <t>9154</t>
  </si>
  <si>
    <t>9155</t>
  </si>
  <si>
    <t>9156</t>
  </si>
  <si>
    <t>9157</t>
  </si>
  <si>
    <t>9158</t>
  </si>
  <si>
    <t>9159</t>
  </si>
  <si>
    <t>9160</t>
  </si>
  <si>
    <t>9161</t>
  </si>
  <si>
    <t>9162</t>
  </si>
  <si>
    <t>9163</t>
  </si>
  <si>
    <t>9164</t>
  </si>
  <si>
    <t>9165</t>
  </si>
  <si>
    <t>9166</t>
  </si>
  <si>
    <t>9167</t>
  </si>
  <si>
    <t>9168</t>
  </si>
  <si>
    <t>9169</t>
  </si>
  <si>
    <t>9170</t>
  </si>
  <si>
    <t>9171</t>
  </si>
  <si>
    <t>9172</t>
  </si>
  <si>
    <t>9173</t>
  </si>
  <si>
    <t>9174</t>
  </si>
  <si>
    <t>9175</t>
  </si>
  <si>
    <t>9176</t>
  </si>
  <si>
    <t>9177</t>
  </si>
  <si>
    <t>9178</t>
  </si>
  <si>
    <t>9179</t>
  </si>
  <si>
    <t>9180</t>
  </si>
  <si>
    <t>9181</t>
  </si>
  <si>
    <t>9182</t>
  </si>
  <si>
    <t>9183</t>
  </si>
  <si>
    <t>9184</t>
  </si>
  <si>
    <t>9185</t>
  </si>
  <si>
    <t>9186</t>
  </si>
  <si>
    <t>9187</t>
  </si>
  <si>
    <t>9188</t>
  </si>
  <si>
    <t>9189</t>
  </si>
  <si>
    <t>9190</t>
  </si>
  <si>
    <t>9191</t>
  </si>
  <si>
    <t>9192</t>
  </si>
  <si>
    <t>9193</t>
  </si>
  <si>
    <t>9194</t>
  </si>
  <si>
    <t>9195</t>
  </si>
  <si>
    <t>9196</t>
  </si>
  <si>
    <t>9197</t>
  </si>
  <si>
    <t>9198</t>
  </si>
  <si>
    <t>9199</t>
  </si>
  <si>
    <t>9200</t>
  </si>
  <si>
    <t>9201</t>
  </si>
  <si>
    <t>9202</t>
  </si>
  <si>
    <t>9203</t>
  </si>
  <si>
    <t>9216</t>
  </si>
  <si>
    <t>序号</t>
  </si>
  <si>
    <t>省份</t>
  </si>
  <si>
    <t>地市</t>
  </si>
  <si>
    <t>客户编号</t>
  </si>
  <si>
    <t>加盟店系统名称</t>
  </si>
  <si>
    <t>客户名称</t>
  </si>
  <si>
    <t>联系电话</t>
  </si>
  <si>
    <t>邮箱</t>
  </si>
  <si>
    <t>上海宝视达眼镜有限公司</t>
  </si>
  <si>
    <t>王彦超</t>
  </si>
  <si>
    <t>杨碧琳</t>
  </si>
  <si>
    <t>河南</t>
  </si>
  <si>
    <t>安阳</t>
  </si>
  <si>
    <t>豫安阳开发区黄河路店</t>
  </si>
  <si>
    <t>李路明、李建峰、余培霞</t>
  </si>
  <si>
    <t>18939577585</t>
  </si>
  <si>
    <t>1803938118@qq.com</t>
  </si>
  <si>
    <t>新郑</t>
  </si>
  <si>
    <t>豫新郑龙湖文昌路泰山路店</t>
  </si>
  <si>
    <t>李成享</t>
  </si>
  <si>
    <t>1272589410@qq.com</t>
  </si>
  <si>
    <t>湖北</t>
  </si>
  <si>
    <t>鄂州</t>
  </si>
  <si>
    <t>鄂鄂州南浦路店</t>
  </si>
  <si>
    <t>周天</t>
  </si>
  <si>
    <t>710107055@qq.com</t>
  </si>
  <si>
    <t>江苏</t>
  </si>
  <si>
    <t>丹阳</t>
  </si>
  <si>
    <t>苏镇江丹阳中山路站前路店</t>
  </si>
  <si>
    <t>吴东军/陈依</t>
  </si>
  <si>
    <t>46281916@qq.com</t>
  </si>
  <si>
    <t>信阳</t>
  </si>
  <si>
    <t>豫信阳淮滨南大街店</t>
  </si>
  <si>
    <t>刘琳</t>
  </si>
  <si>
    <t>0376-7733838(小灵通）   7760166（FAX）</t>
  </si>
  <si>
    <t>1825528626@qq.com</t>
  </si>
  <si>
    <t>豫信阳光山公安街店</t>
  </si>
  <si>
    <t>陈安江</t>
  </si>
  <si>
    <t>0376-8880768</t>
  </si>
  <si>
    <t>1534269116@qq.com</t>
  </si>
  <si>
    <t>豫信阳潢川北关口店</t>
  </si>
  <si>
    <t>胡亮胜</t>
  </si>
  <si>
    <t>0376-6122777</t>
  </si>
  <si>
    <t>豫信阳明港大世界店</t>
  </si>
  <si>
    <t>余纪林</t>
  </si>
  <si>
    <t>0376-8664699    13837640688</t>
  </si>
  <si>
    <t>1297658087@qq.com</t>
  </si>
  <si>
    <t>豫信阳固始中山大街店</t>
  </si>
  <si>
    <t>华 宾</t>
  </si>
  <si>
    <t>0376-4963133  13837641212</t>
  </si>
  <si>
    <t>307288998@qq.com</t>
  </si>
  <si>
    <t>平顶山</t>
  </si>
  <si>
    <t>豫平顶山宝丰人民路万寿步行街店</t>
  </si>
  <si>
    <t>张 俊/李爱英</t>
  </si>
  <si>
    <t>0375-7116888</t>
  </si>
  <si>
    <t>2995096216@qq.com</t>
  </si>
  <si>
    <t>南阳</t>
  </si>
  <si>
    <t>南阳邓州市宝视达一店</t>
  </si>
  <si>
    <t>张海华</t>
  </si>
  <si>
    <t>0377-62966855</t>
  </si>
  <si>
    <t>115617493@qq.com</t>
  </si>
  <si>
    <t>豫信阳罗山北关图书馆店</t>
  </si>
  <si>
    <t>陈良海/刘祥云</t>
  </si>
  <si>
    <t>0376-2205809 胡荣：13782918025</t>
  </si>
  <si>
    <t>商丘</t>
  </si>
  <si>
    <t>豫商丘夏邑县府路店</t>
  </si>
  <si>
    <t>何瑞霞</t>
  </si>
  <si>
    <t xml:space="preserve">0370-6229000   6212516（FAX）   13937051937 </t>
  </si>
  <si>
    <t>80970126@qq.com</t>
  </si>
  <si>
    <t>平顶山叶县宝视达一店</t>
  </si>
  <si>
    <t>屈淑华</t>
  </si>
  <si>
    <t>0375-6117888    13213151389  18639535551  qsh@bsdglasses.com</t>
  </si>
  <si>
    <t>qsh@bsdglasses.com</t>
  </si>
  <si>
    <t>驻马店</t>
  </si>
  <si>
    <t>豫驻马店汝南古城大道店</t>
  </si>
  <si>
    <t>周新玲</t>
  </si>
  <si>
    <t>554542360@qq.com</t>
  </si>
  <si>
    <t>豫南阳镇平中山路店</t>
  </si>
  <si>
    <t>秦金岑/秦金苗</t>
  </si>
  <si>
    <t>0377-65619119/13203758588</t>
  </si>
  <si>
    <t>282940037@qq.com</t>
  </si>
  <si>
    <t>登封</t>
  </si>
  <si>
    <t>登封宝视达一店</t>
  </si>
  <si>
    <t>497021699@qq.com</t>
  </si>
  <si>
    <t>山西省</t>
  </si>
  <si>
    <t>晋城</t>
  </si>
  <si>
    <t>山西晋城宝视达加盟一店</t>
  </si>
  <si>
    <t>1801735103@qq.com</t>
  </si>
  <si>
    <t>洛阳</t>
  </si>
  <si>
    <t>洛阳宝视达一店-华娟</t>
  </si>
  <si>
    <t>华娟</t>
  </si>
  <si>
    <t>分离</t>
  </si>
  <si>
    <t>发给冯会计和屈经理</t>
  </si>
  <si>
    <t>濮阳</t>
  </si>
  <si>
    <t>豫濮阳清丰十字街店</t>
  </si>
  <si>
    <t>张国强/朱志兴</t>
  </si>
  <si>
    <t>395730747@qq.com</t>
  </si>
  <si>
    <t>濮阳市范县宝视达加盟一店</t>
  </si>
  <si>
    <t>河北</t>
  </si>
  <si>
    <t>邢台</t>
  </si>
  <si>
    <t>冀邢台清河太行北路店</t>
  </si>
  <si>
    <t>蔡根标</t>
  </si>
  <si>
    <t>404679755@qq.com</t>
  </si>
  <si>
    <t>江苏省</t>
  </si>
  <si>
    <t>无锡</t>
  </si>
  <si>
    <t>苏无锡硕放振发路店</t>
  </si>
  <si>
    <t>朱婷婷</t>
  </si>
  <si>
    <t>492929811@qq.com</t>
  </si>
  <si>
    <t>北京</t>
  </si>
  <si>
    <t>龙湖</t>
  </si>
  <si>
    <t>京朝阳区常通路店</t>
  </si>
  <si>
    <t>张水京</t>
  </si>
  <si>
    <t>56793471@qq.com</t>
  </si>
  <si>
    <t>周口</t>
  </si>
  <si>
    <t>豫周口淮阳淮周路店</t>
  </si>
  <si>
    <t>董高魁</t>
  </si>
  <si>
    <t>1175401298@qq.com</t>
  </si>
  <si>
    <t>河北省</t>
  </si>
  <si>
    <t>保定</t>
  </si>
  <si>
    <t>冀保定涿州东大街店</t>
  </si>
  <si>
    <t>赵忠/刘艳霞</t>
  </si>
  <si>
    <t>2410888347@qq.com</t>
  </si>
  <si>
    <t>豫商丘民权人民路店</t>
  </si>
  <si>
    <t>许军明</t>
  </si>
  <si>
    <t>438837146@qq.com</t>
  </si>
  <si>
    <t>豫南阳唐河建设路店</t>
  </si>
  <si>
    <t>杜华品</t>
  </si>
  <si>
    <t>316705173@qq.com</t>
  </si>
  <si>
    <t>豫驻马店上蔡县东大街店</t>
  </si>
  <si>
    <t>潘亮</t>
  </si>
  <si>
    <t>514590929@qq.com</t>
  </si>
  <si>
    <t>豫信阳商城花园路店</t>
  </si>
  <si>
    <t>陈浩</t>
  </si>
  <si>
    <t>长治</t>
  </si>
  <si>
    <t>晋长治城东路店</t>
  </si>
  <si>
    <t>杨永红/郭永翠</t>
  </si>
  <si>
    <t>13467099645/13663561809</t>
  </si>
  <si>
    <t>安徽省</t>
  </si>
  <si>
    <t>淮北</t>
  </si>
  <si>
    <t>皖淮北市相山北路店</t>
  </si>
  <si>
    <t>周全方</t>
  </si>
  <si>
    <t>27441572@qq.com</t>
  </si>
  <si>
    <t>张家口宝视达一店</t>
  </si>
  <si>
    <t>仉铎</t>
  </si>
  <si>
    <t>1467566783@qq.com</t>
  </si>
  <si>
    <t>南阳市</t>
  </si>
  <si>
    <t>河南省南阳市桐柏店</t>
  </si>
  <si>
    <t>张志旭</t>
  </si>
  <si>
    <t>13598284247@163.com</t>
  </si>
  <si>
    <t>山东</t>
  </si>
  <si>
    <t>泰安</t>
  </si>
  <si>
    <t>鲁泰安市山口镇中心街店</t>
  </si>
  <si>
    <t>付忠</t>
  </si>
  <si>
    <t>693791269@qq.com</t>
  </si>
  <si>
    <t>新疆</t>
  </si>
  <si>
    <t>库尔勒</t>
  </si>
  <si>
    <t>新疆库尔勒店</t>
  </si>
  <si>
    <t>苏平</t>
  </si>
  <si>
    <t>2585988705@qq.com</t>
  </si>
  <si>
    <t>豫洛阳新安涧河路店</t>
  </si>
  <si>
    <t>王永魁</t>
  </si>
  <si>
    <t>1172718910@qq.com</t>
  </si>
  <si>
    <t>辽宁</t>
  </si>
  <si>
    <t>营口</t>
  </si>
  <si>
    <t>辽营口大石桥振兴路店</t>
  </si>
  <si>
    <t>卢立国/李建峰</t>
  </si>
  <si>
    <t>81163873@qq.com</t>
  </si>
  <si>
    <t>阿克苏</t>
  </si>
  <si>
    <t>新阿克苏阿瓦提步行街店</t>
  </si>
  <si>
    <t>马超/李田润</t>
  </si>
  <si>
    <t>354339099@qq.com</t>
  </si>
  <si>
    <t>豫洛阳汝阳刘伶路店</t>
  </si>
  <si>
    <t>吕豪杰</t>
  </si>
  <si>
    <t>13803751035@139.com</t>
  </si>
  <si>
    <t>新密</t>
  </si>
  <si>
    <t>豫新密青屏大街店</t>
  </si>
  <si>
    <t>乔阳克</t>
  </si>
  <si>
    <t>13838207078</t>
  </si>
  <si>
    <t>981077565@qq.com</t>
  </si>
  <si>
    <t>河南周口商水宝视达眼镜</t>
  </si>
  <si>
    <t>程小龙</t>
  </si>
  <si>
    <t>153655663@qq.com</t>
  </si>
  <si>
    <t>遵化</t>
  </si>
  <si>
    <t>冀唐山遵化武学街店</t>
  </si>
  <si>
    <t>杨春兰</t>
  </si>
  <si>
    <t>392255371@qq.com</t>
  </si>
  <si>
    <t>中牟</t>
  </si>
  <si>
    <t>河南中牟店</t>
  </si>
  <si>
    <t>龙子湖店</t>
  </si>
  <si>
    <t>68093746@qq.com</t>
  </si>
  <si>
    <t>江苏淮安涟水店</t>
  </si>
  <si>
    <t>曹明</t>
  </si>
  <si>
    <t>85640290@qq.com</t>
  </si>
  <si>
    <t>鲁泰安肥城新城路店</t>
  </si>
  <si>
    <t>王芳</t>
  </si>
  <si>
    <t>373787742@qq.com</t>
  </si>
  <si>
    <t>郑州</t>
  </si>
  <si>
    <t>豫郑州航海路帝湖店</t>
  </si>
  <si>
    <t>陈凯</t>
  </si>
  <si>
    <t>471666050@qq.com</t>
  </si>
  <si>
    <t>豫新密西大街店</t>
  </si>
  <si>
    <t>乔阳克、高青松</t>
  </si>
  <si>
    <t>焦作</t>
  </si>
  <si>
    <t>豫焦作武陟红旗路店</t>
  </si>
  <si>
    <t>武秋霞</t>
  </si>
  <si>
    <t>13608495553/17603918892</t>
  </si>
  <si>
    <t>944121463@qq.com</t>
  </si>
  <si>
    <t>豫平顶山宝丰人民路酒厂店</t>
  </si>
  <si>
    <t>李三春/李爱英</t>
  </si>
  <si>
    <t>豫周口太康建设路店</t>
  </si>
  <si>
    <t>张签</t>
  </si>
  <si>
    <t>659348210@qq.com</t>
  </si>
  <si>
    <t>豫郑州丰庆路店</t>
  </si>
  <si>
    <t>李磊/褚心艳</t>
  </si>
  <si>
    <t>342633014@    13526669392</t>
  </si>
  <si>
    <t>342633014@qq.com</t>
  </si>
  <si>
    <t>济南</t>
  </si>
  <si>
    <t>山东济南泉城路店</t>
  </si>
  <si>
    <t>豫顶山建设路店</t>
  </si>
  <si>
    <t>李淑仙</t>
  </si>
  <si>
    <t>764876545@qq.com</t>
  </si>
  <si>
    <t>豫新郑人民路店</t>
  </si>
  <si>
    <t>高春华</t>
  </si>
  <si>
    <t>17737156967</t>
  </si>
  <si>
    <t>837427116@qq.com</t>
  </si>
  <si>
    <t>豫平顶山舞钢垭口店</t>
  </si>
  <si>
    <t>李小艳</t>
  </si>
  <si>
    <t>15937515579</t>
  </si>
  <si>
    <t>1009271267@qq.com</t>
  </si>
  <si>
    <t>淮安</t>
  </si>
  <si>
    <t>苏淮安北京路店</t>
  </si>
  <si>
    <t>13912061529</t>
  </si>
  <si>
    <t>豫平顶山新华路店</t>
  </si>
  <si>
    <t>18637560199</t>
  </si>
  <si>
    <t>许昌</t>
  </si>
  <si>
    <t>豫许昌东城区八一路店</t>
  </si>
  <si>
    <t>罗亮/陈聪</t>
  </si>
  <si>
    <t>15617488891</t>
  </si>
  <si>
    <t>317328845@qq.com</t>
  </si>
  <si>
    <t>豫平顶山凌云路店</t>
  </si>
  <si>
    <t>34326164@qq.com</t>
  </si>
  <si>
    <t>豫南阳张衡路凤凰城店</t>
  </si>
  <si>
    <t>邱华玲</t>
  </si>
  <si>
    <t>13782171957</t>
  </si>
  <si>
    <t>641249379@qq.com</t>
  </si>
  <si>
    <t>豫南阳淅川解放路店</t>
  </si>
  <si>
    <t>王兴</t>
  </si>
  <si>
    <t>18603772308</t>
  </si>
  <si>
    <t>78185462@qq.com</t>
  </si>
  <si>
    <t>豫平顶山公正路翠湖苑店</t>
  </si>
  <si>
    <t>常艳华/徐彩丽</t>
  </si>
  <si>
    <t>13849571744</t>
  </si>
  <si>
    <t>438013350@qq.com</t>
  </si>
  <si>
    <t>福建</t>
  </si>
  <si>
    <t>三明</t>
  </si>
  <si>
    <t>闽三明新市北路万达广场店</t>
  </si>
  <si>
    <t>林彬</t>
  </si>
  <si>
    <t>13599935417</t>
  </si>
  <si>
    <t>531415619@qq.com</t>
  </si>
  <si>
    <t>新乡</t>
  </si>
  <si>
    <t>豫新乡封丘县黄池路店</t>
  </si>
  <si>
    <t>赵继宏/王超奇</t>
  </si>
  <si>
    <t>13803868177</t>
  </si>
  <si>
    <t>1806913916@qq.com</t>
  </si>
  <si>
    <t>豫郑州中牟白沙恒通路店</t>
  </si>
  <si>
    <t>张伟/刘园园</t>
  </si>
  <si>
    <t>15617916677</t>
  </si>
  <si>
    <t>2071749773@qq.com</t>
  </si>
  <si>
    <t>乌鲁木齐</t>
  </si>
  <si>
    <t>新疆乌鲁木齐黄河路店</t>
  </si>
  <si>
    <t>李文</t>
  </si>
  <si>
    <t>13899921593</t>
  </si>
  <si>
    <t>124803166@qq.com</t>
  </si>
  <si>
    <t>济宁</t>
  </si>
  <si>
    <t>鲁济宁九州路店</t>
  </si>
  <si>
    <t>候珍</t>
  </si>
  <si>
    <t>13515377616</t>
  </si>
  <si>
    <t>65055505@qq.com</t>
  </si>
  <si>
    <t>阜阳</t>
  </si>
  <si>
    <t>皖阜阳市临泉临鲖路店</t>
  </si>
  <si>
    <t>杨春霞</t>
  </si>
  <si>
    <t>13966849586</t>
  </si>
  <si>
    <t>亳州</t>
  </si>
  <si>
    <t>皖亳州涡阳县涡河路店</t>
  </si>
  <si>
    <t>张伟</t>
  </si>
  <si>
    <t>13805611869</t>
  </si>
  <si>
    <t>襄阳</t>
  </si>
  <si>
    <t>鄂襄阳人民路店</t>
  </si>
  <si>
    <t>熊鹏</t>
  </si>
  <si>
    <t>13972250627</t>
  </si>
  <si>
    <t>2981894020@qq.com</t>
  </si>
  <si>
    <t>豫濮阳台前金水路店</t>
  </si>
  <si>
    <t>王华杰</t>
  </si>
  <si>
    <t>15936720170</t>
  </si>
  <si>
    <t>742822279@qq.com</t>
  </si>
  <si>
    <t>安庆</t>
  </si>
  <si>
    <t>皖安庆菱湖路店</t>
  </si>
  <si>
    <t>赵奥/缪克晓</t>
  </si>
  <si>
    <t>13665590685</t>
  </si>
  <si>
    <t>249368505@qq.com</t>
  </si>
  <si>
    <t>豫平顶山鹰城广场店</t>
  </si>
  <si>
    <t>豫平顶山市诚朴路店</t>
  </si>
  <si>
    <t>豫新乡荣校路店</t>
  </si>
  <si>
    <t>陈垒</t>
  </si>
  <si>
    <t>18639532791</t>
  </si>
  <si>
    <t>489616468@qq.com</t>
  </si>
  <si>
    <t>豫焦作博爱葵城路店</t>
  </si>
  <si>
    <t>15138098080</t>
  </si>
  <si>
    <t>495388981@qq.com</t>
  </si>
  <si>
    <t>豫郑州南三环连云路店</t>
  </si>
  <si>
    <t>冯灿</t>
  </si>
  <si>
    <t>豫鹤</t>
  </si>
  <si>
    <t>豫鹤壁淇县红旗路店</t>
  </si>
  <si>
    <t>侯刘坤</t>
  </si>
  <si>
    <t>250571682@qq.com</t>
  </si>
  <si>
    <t>南乐</t>
  </si>
  <si>
    <t>豫濮阳南乐昌州路店</t>
  </si>
  <si>
    <t>1124999758@qq.com</t>
  </si>
  <si>
    <t>豫南阳中州路店</t>
  </si>
  <si>
    <t>李丹丹</t>
  </si>
  <si>
    <t>1685515330@qq.com</t>
  </si>
  <si>
    <t>苏常</t>
  </si>
  <si>
    <t>苏常州万达广场店</t>
  </si>
  <si>
    <t>豫南阳理工学院店</t>
  </si>
  <si>
    <t>李炎</t>
  </si>
  <si>
    <t>qxl15938880379@126.com</t>
  </si>
  <si>
    <t>泌阳</t>
  </si>
  <si>
    <t>豫驻马店泌阳人民路店</t>
  </si>
  <si>
    <t>张继涛</t>
  </si>
  <si>
    <t>445466962@qq.com</t>
  </si>
  <si>
    <t>豫南阳建设路店</t>
  </si>
  <si>
    <t>韦沛</t>
  </si>
  <si>
    <t>1124675343@qq.com</t>
  </si>
  <si>
    <t>曹妃店</t>
  </si>
  <si>
    <t>冀唐山唐海新城大街店</t>
  </si>
  <si>
    <t>豫平顶山鲁山墨公路店</t>
  </si>
  <si>
    <t>丁巧仙</t>
  </si>
  <si>
    <t>dqx@bsdglasses.com</t>
  </si>
  <si>
    <t>郑州惠济清华园路店</t>
  </si>
  <si>
    <t>陈丹丽</t>
  </si>
  <si>
    <t>36199643@qq.com</t>
  </si>
  <si>
    <t>长葛一峰城市广场店</t>
  </si>
  <si>
    <t>董丽娜</t>
  </si>
  <si>
    <t>874769045@qq.com</t>
  </si>
  <si>
    <t>荥阳荥泽大道店</t>
  </si>
  <si>
    <t>胡松波</t>
  </si>
  <si>
    <t>47588205@qq.com</t>
  </si>
  <si>
    <t>商丘睢阳区帝和水上公园店</t>
  </si>
  <si>
    <t>刘丹</t>
  </si>
  <si>
    <t xml:space="preserve">361321658@qq.com </t>
  </si>
  <si>
    <t>驻马店新店</t>
  </si>
  <si>
    <t>豫驻马店置业大道店</t>
  </si>
  <si>
    <t>李伟</t>
  </si>
  <si>
    <t>86492578@qq.com</t>
  </si>
  <si>
    <t>豫郑州畅和街店</t>
  </si>
  <si>
    <t>贺静</t>
  </si>
  <si>
    <t>1965672295@qq.com</t>
  </si>
  <si>
    <t>安徽</t>
  </si>
  <si>
    <t>皖亳州希夷大道店</t>
  </si>
  <si>
    <t>569227939@qq.com;</t>
  </si>
  <si>
    <t>鲁泰安肥城文化路店</t>
  </si>
  <si>
    <t>豫南阳南召黄洋路店</t>
  </si>
  <si>
    <t>张吉雷</t>
  </si>
  <si>
    <t xml:space="preserve">287626337@qq.com </t>
  </si>
  <si>
    <t>扶沟新店</t>
  </si>
  <si>
    <t>豫周口扶沟桐丘中路店</t>
  </si>
  <si>
    <t>张亚茹</t>
  </si>
  <si>
    <t xml:space="preserve">369576164@qq.com </t>
  </si>
  <si>
    <t>漯河新店</t>
  </si>
  <si>
    <t>豫漯河市柳江路店</t>
  </si>
  <si>
    <t>张偎偎</t>
  </si>
  <si>
    <t xml:space="preserve">2876321553@qq.com </t>
  </si>
  <si>
    <t>中牟新店</t>
  </si>
  <si>
    <t>豫郑州中牟官渡大街店</t>
  </si>
  <si>
    <t>蔡建涛</t>
  </si>
  <si>
    <t>1242557318@qq.com</t>
  </si>
  <si>
    <t>豫驻马店新蔡人民路店</t>
  </si>
  <si>
    <t>张红利/常社珍</t>
  </si>
  <si>
    <t>764595041@qq.com</t>
  </si>
  <si>
    <t>北京滨河路店</t>
  </si>
  <si>
    <t>黄晓辰</t>
  </si>
  <si>
    <t>313938656@qq.com</t>
  </si>
  <si>
    <t>河南省巩义市米河镇宝视达</t>
  </si>
  <si>
    <t>张海峰</t>
  </si>
  <si>
    <t>28036147@qq.com</t>
  </si>
  <si>
    <t>豫安阳永明路店</t>
  </si>
  <si>
    <t>冯云</t>
  </si>
  <si>
    <t>317750464@qq.com</t>
  </si>
  <si>
    <t>豫郑州须水河东路店</t>
  </si>
  <si>
    <t>高青松</t>
  </si>
  <si>
    <t>1209852075@qq.com</t>
  </si>
  <si>
    <t>三门峡</t>
  </si>
  <si>
    <t>豫三门峡陕县高阳路店</t>
  </si>
  <si>
    <t>魏松涛</t>
  </si>
  <si>
    <t>50211562@qq.com</t>
  </si>
  <si>
    <t>开封</t>
  </si>
  <si>
    <t>豫开封县深圳大道店</t>
  </si>
  <si>
    <t>刘增</t>
  </si>
  <si>
    <t>870802495@qq.com</t>
  </si>
  <si>
    <t>豫安阳文明大道店</t>
  </si>
  <si>
    <t>贾永杰</t>
  </si>
  <si>
    <t>1129442737@qq.com</t>
  </si>
  <si>
    <t>豫平顶山郏县东大街店</t>
  </si>
  <si>
    <t>候伟琴</t>
  </si>
  <si>
    <t>1065966469@qq.com</t>
  </si>
  <si>
    <t>豫洛阳市洛宁翔梧路店</t>
  </si>
  <si>
    <t>毛享清</t>
  </si>
  <si>
    <t>豫驻马店上蔡朱里镇店</t>
  </si>
  <si>
    <t>1229797850@qq.com</t>
  </si>
  <si>
    <t>艾看特加盟</t>
  </si>
  <si>
    <t>皖合肥徽州大道漫乐城购物中心店</t>
  </si>
  <si>
    <t>孙习祥</t>
  </si>
  <si>
    <t>514342583@qq.com</t>
  </si>
  <si>
    <t>豫新乡县中央大道店</t>
  </si>
  <si>
    <t>段骄烊</t>
  </si>
  <si>
    <t>769983213@qq.com</t>
  </si>
  <si>
    <t>豫开封尉氏健康路店</t>
  </si>
  <si>
    <t>石景龙</t>
  </si>
  <si>
    <t>280016738@qq.com</t>
  </si>
  <si>
    <t>豫驻马店新蔡振兴路店</t>
  </si>
  <si>
    <t>陕安康市巴山东路店</t>
  </si>
  <si>
    <t>许梦南</t>
  </si>
  <si>
    <t>甘白银市观澜商业街店</t>
  </si>
  <si>
    <t>姚重阳</t>
  </si>
  <si>
    <t>2298202998@qq.com</t>
  </si>
  <si>
    <t>皖宿州市淮海北路店</t>
  </si>
  <si>
    <t>潘珊珊</t>
  </si>
  <si>
    <t>903739321@qq.com</t>
  </si>
  <si>
    <t>豫驻马店遂平县国槐路店</t>
  </si>
  <si>
    <t>xuanxuan20111216@163.com</t>
  </si>
  <si>
    <t>豫郑州福禄街店</t>
  </si>
  <si>
    <t>发英姐微信</t>
  </si>
  <si>
    <t>皖合肥天通路店</t>
  </si>
  <si>
    <t>豫焦作修武为民路店</t>
  </si>
  <si>
    <t>86474533@qq.com</t>
  </si>
  <si>
    <t>豫安阳林州太行路太阳国际店</t>
  </si>
  <si>
    <t>靳晓明</t>
  </si>
  <si>
    <t>1287064373@qq.com</t>
  </si>
  <si>
    <t>豫开封兰考裕禄大道店</t>
  </si>
  <si>
    <t>530827867@qq.com</t>
  </si>
  <si>
    <t>1250715603@qq.com</t>
  </si>
  <si>
    <t>李明辉</t>
  </si>
  <si>
    <t>913135472@qq.com</t>
  </si>
  <si>
    <t>冯春英</t>
  </si>
  <si>
    <t>747780921@qq.com</t>
  </si>
  <si>
    <t>黄双峰</t>
  </si>
  <si>
    <t>191255150@qq.com</t>
  </si>
  <si>
    <t>451652305@qq.com</t>
  </si>
  <si>
    <t>鲁日照泰安路店</t>
  </si>
  <si>
    <t>uspaiglasses@126.com</t>
  </si>
  <si>
    <t>杜利霞</t>
  </si>
  <si>
    <t>262982996@qq.com</t>
  </si>
  <si>
    <t>豫三门峡卢氏南关街店</t>
  </si>
  <si>
    <t>姬自库</t>
  </si>
  <si>
    <t>1059135366@qq.com</t>
  </si>
  <si>
    <t>豫南阳西峡老街店</t>
  </si>
  <si>
    <t>陈杰</t>
  </si>
  <si>
    <t>295586808@qq.com</t>
  </si>
  <si>
    <t>鄂大冶市新冶大道店</t>
  </si>
  <si>
    <t>2985457255@qq.com</t>
  </si>
  <si>
    <t>豫许昌禹州颍川路店</t>
  </si>
  <si>
    <t>370654859@qq.com</t>
  </si>
  <si>
    <t>豫平顶山舞钢市寺坡步行街店</t>
  </si>
  <si>
    <t>张艳红</t>
  </si>
  <si>
    <t>2923438191@qq.com</t>
  </si>
  <si>
    <t>豫信阳潢川跃进路丹桂园店</t>
  </si>
  <si>
    <t>皖阜阳市阜南县淮河路店</t>
  </si>
  <si>
    <t>许明胜</t>
  </si>
  <si>
    <t>豫驻马店平舆县文化路建设路店</t>
  </si>
  <si>
    <t>张起华</t>
  </si>
  <si>
    <t>18639532578‬</t>
  </si>
  <si>
    <t>597556550@qq.com</t>
  </si>
  <si>
    <t>豫南阳内乡褚阳大街西关店</t>
  </si>
  <si>
    <t>马汉杰</t>
  </si>
  <si>
    <t>13588181375 </t>
  </si>
  <si>
    <t>409260385@qq.com</t>
  </si>
  <si>
    <t>豫洛阳市宜阳县红旗路店</t>
  </si>
  <si>
    <t>吴利平</t>
  </si>
  <si>
    <t>834880329@qq.com</t>
  </si>
  <si>
    <t>豫平顶山舞钢朱兰干休一路店</t>
  </si>
  <si>
    <t>豫开封市杞县金城大道城隍庙店</t>
  </si>
  <si>
    <t>254368731@qq.com</t>
  </si>
  <si>
    <t>豫郑州荥阳市索河路碧园小区店</t>
  </si>
  <si>
    <t>李传勇</t>
  </si>
  <si>
    <t>lijiafei1022@126.com</t>
  </si>
  <si>
    <t>豫周口夏邑建设路实验中学店</t>
  </si>
  <si>
    <t>彭小娜</t>
  </si>
  <si>
    <t>1142179627@qq.com</t>
  </si>
  <si>
    <t>豫商丘永城雪枫路东方大道店</t>
  </si>
  <si>
    <t>豫信阳罗山南街店</t>
  </si>
  <si>
    <t>370094791@qq.com</t>
  </si>
  <si>
    <t>豫郑州郑东新区永平路店</t>
  </si>
  <si>
    <t>郭旭峰/贺静</t>
  </si>
  <si>
    <t>豫焦作武陟和平路国贸店</t>
  </si>
  <si>
    <t>袁朝阳</t>
  </si>
  <si>
    <t>1248108496@qq.com</t>
  </si>
  <si>
    <t>鲁德州市三八西路店</t>
  </si>
  <si>
    <t>罗海军</t>
  </si>
  <si>
    <t>369436447@qq.com</t>
  </si>
  <si>
    <t>豫周口郸城公园东路新一高店</t>
  </si>
  <si>
    <t>史慧祥</t>
  </si>
  <si>
    <t>174420451@qq.com</t>
  </si>
  <si>
    <t>豫新乡长垣博爱路联华广场店</t>
  </si>
  <si>
    <t>李传龙</t>
  </si>
  <si>
    <t xml:space="preserve"> 豫驻马店确山县护城河路一中店</t>
  </si>
  <si>
    <t>2511468765@qq.com</t>
  </si>
  <si>
    <t>邮箱</t>
    <phoneticPr fontId="1" type="noConversion"/>
  </si>
  <si>
    <t>备注</t>
    <phoneticPr fontId="6" type="noConversion"/>
  </si>
  <si>
    <t>杨碧琳</t>
    <phoneticPr fontId="6" type="noConversion"/>
  </si>
  <si>
    <r>
      <rPr>
        <sz val="10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3213141805</t>
    </r>
  </si>
  <si>
    <t>1272589410@qq.com</t>
    <phoneticPr fontId="6" type="noConversion"/>
  </si>
  <si>
    <t>1825528626@qq.com</t>
    <phoneticPr fontId="6" type="noConversion"/>
  </si>
  <si>
    <t>1534269116@qq.com</t>
    <phoneticPr fontId="6" type="noConversion"/>
  </si>
  <si>
    <t>许冬远</t>
    <phoneticPr fontId="6" type="noConversion"/>
  </si>
  <si>
    <t>395730747@qq.com</t>
    <phoneticPr fontId="6" type="noConversion"/>
  </si>
  <si>
    <t>438837146@qq.com</t>
    <phoneticPr fontId="6" type="noConversion"/>
  </si>
  <si>
    <t>1801735103@qq.com</t>
    <phoneticPr fontId="6" type="noConversion"/>
  </si>
  <si>
    <t>981077565@qq.com</t>
    <phoneticPr fontId="6" type="noConversion"/>
  </si>
  <si>
    <t>9068</t>
  </si>
  <si>
    <t>9083</t>
  </si>
  <si>
    <t>qsh@bsdglasses.com</t>
    <phoneticPr fontId="6" type="noConversion"/>
  </si>
  <si>
    <t>9099</t>
  </si>
  <si>
    <t>1527912403@qq.com</t>
    <phoneticPr fontId="6" type="noConversion"/>
  </si>
  <si>
    <t>9102</t>
  </si>
  <si>
    <t>249368505@qq.com</t>
    <phoneticPr fontId="6" type="noConversion"/>
  </si>
  <si>
    <r>
      <rPr>
        <sz val="10"/>
        <color theme="1"/>
        <rFont val="宋体"/>
        <family val="3"/>
        <charset val="134"/>
      </rPr>
      <t>刘伟伟/刘浩</t>
    </r>
    <r>
      <rPr>
        <sz val="10"/>
        <color theme="1"/>
        <rFont val="宋体"/>
        <family val="3"/>
        <charset val="134"/>
      </rPr>
      <t>/卢仡婕</t>
    </r>
  </si>
  <si>
    <r>
      <rPr>
        <sz val="10"/>
        <color theme="1"/>
        <rFont val="宋体"/>
        <family val="3"/>
        <charset val="134"/>
      </rPr>
      <t>田丰/程为民</t>
    </r>
    <r>
      <rPr>
        <sz val="11"/>
        <color theme="1"/>
        <rFont val="宋体"/>
        <family val="3"/>
        <charset val="134"/>
      </rPr>
      <t>/闫红娟</t>
    </r>
  </si>
  <si>
    <t>1124999758@qq.com</t>
    <phoneticPr fontId="6" type="noConversion"/>
  </si>
  <si>
    <t>496279992@qq.com</t>
    <phoneticPr fontId="6" type="noConversion"/>
  </si>
  <si>
    <t>9122</t>
  </si>
  <si>
    <t>无</t>
    <phoneticPr fontId="6" type="noConversion"/>
  </si>
  <si>
    <t>50211562@qq.com</t>
    <phoneticPr fontId="6" type="noConversion"/>
  </si>
  <si>
    <t>870802495@qq.com</t>
    <phoneticPr fontId="6" type="noConversion"/>
  </si>
  <si>
    <t>1065966469@qq.com</t>
    <phoneticPr fontId="6" type="noConversion"/>
  </si>
  <si>
    <t>794279488@qq.com</t>
    <phoneticPr fontId="6" type="noConversion"/>
  </si>
  <si>
    <t>13683899997</t>
    <phoneticPr fontId="6" type="noConversion"/>
  </si>
  <si>
    <t>张红利/常社珍</t>
    <phoneticPr fontId="6" type="noConversion"/>
  </si>
  <si>
    <t>764595041@qq.com</t>
    <phoneticPr fontId="6" type="noConversion"/>
  </si>
  <si>
    <t>741996795@qq.com</t>
    <phoneticPr fontId="6" type="noConversion"/>
  </si>
  <si>
    <t>蔡斌</t>
    <phoneticPr fontId="6" type="noConversion"/>
  </si>
  <si>
    <t>xuanxuan20111216@163.com</t>
    <phoneticPr fontId="6" type="noConversion"/>
  </si>
  <si>
    <t>英姐店</t>
    <phoneticPr fontId="6" type="noConversion"/>
  </si>
  <si>
    <t>发英姐微信</t>
    <phoneticPr fontId="6" type="noConversion"/>
  </si>
  <si>
    <t>余根霞</t>
    <phoneticPr fontId="6" type="noConversion"/>
  </si>
  <si>
    <t>1424111037@qq.com</t>
    <phoneticPr fontId="6" type="noConversion"/>
  </si>
  <si>
    <t>李柯</t>
    <phoneticPr fontId="6" type="noConversion"/>
  </si>
  <si>
    <t>86474533@qq.com</t>
    <phoneticPr fontId="6" type="noConversion"/>
  </si>
  <si>
    <t>1287064373@qq.com</t>
    <phoneticPr fontId="6" type="noConversion"/>
  </si>
  <si>
    <t>张嵩</t>
    <phoneticPr fontId="6" type="noConversion"/>
  </si>
  <si>
    <t>530827867@qq.com</t>
    <phoneticPr fontId="6" type="noConversion"/>
  </si>
  <si>
    <t>豫新乡辉县共城大道店</t>
    <phoneticPr fontId="12" type="noConversion"/>
  </si>
  <si>
    <t>李春玲</t>
    <phoneticPr fontId="6" type="noConversion"/>
  </si>
  <si>
    <t>18749191794</t>
    <phoneticPr fontId="6" type="noConversion"/>
  </si>
  <si>
    <t>1250715603@qq.com</t>
    <phoneticPr fontId="6" type="noConversion"/>
  </si>
  <si>
    <t>晋运城市平陆县向阳路店</t>
    <phoneticPr fontId="12" type="noConversion"/>
  </si>
  <si>
    <t>913135472@qq.com</t>
    <phoneticPr fontId="6" type="noConversion"/>
  </si>
  <si>
    <t>豫郑州中牟县官渡大街社保局店</t>
    <phoneticPr fontId="12" type="noConversion"/>
  </si>
  <si>
    <t>蔡建涛</t>
    <phoneticPr fontId="6" type="noConversion"/>
  </si>
  <si>
    <t>豫商丘市睢县凤城大道店</t>
    <phoneticPr fontId="12" type="noConversion"/>
  </si>
  <si>
    <t>747780921@qq.com</t>
    <phoneticPr fontId="6" type="noConversion"/>
  </si>
  <si>
    <t>皖芜湖市凤凰美食街店</t>
    <phoneticPr fontId="12" type="noConversion"/>
  </si>
  <si>
    <t>191255150@qq.com</t>
    <phoneticPr fontId="6" type="noConversion"/>
  </si>
  <si>
    <t>陕西安市高新四路店</t>
    <phoneticPr fontId="12" type="noConversion"/>
  </si>
  <si>
    <t>党凯</t>
    <phoneticPr fontId="6" type="noConversion"/>
  </si>
  <si>
    <t>451652305@qq.com</t>
    <phoneticPr fontId="6" type="noConversion"/>
  </si>
  <si>
    <t>吴剑楠</t>
    <phoneticPr fontId="6" type="noConversion"/>
  </si>
  <si>
    <t>山西晋城红星四街店</t>
    <phoneticPr fontId="6" type="noConversion"/>
  </si>
  <si>
    <t>262982996@qq.com</t>
    <phoneticPr fontId="6" type="noConversion"/>
  </si>
  <si>
    <t>魏松涛</t>
    <phoneticPr fontId="6" type="noConversion"/>
  </si>
  <si>
    <t>视觉</t>
    <phoneticPr fontId="6" type="noConversion"/>
  </si>
  <si>
    <t>豫安阳滑县文明路店</t>
    <phoneticPr fontId="6" type="noConversion"/>
  </si>
  <si>
    <t>1059135366@qq.com</t>
    <phoneticPr fontId="6" type="noConversion"/>
  </si>
  <si>
    <t>295586808@qq.com</t>
    <phoneticPr fontId="6" type="noConversion"/>
  </si>
  <si>
    <t>石大悟</t>
    <phoneticPr fontId="6" type="noConversion"/>
  </si>
  <si>
    <t>2985457255@qq.com</t>
    <phoneticPr fontId="6" type="noConversion"/>
  </si>
  <si>
    <t>370654859@qq.com</t>
    <phoneticPr fontId="6" type="noConversion"/>
  </si>
  <si>
    <t>2923438191@qq.com</t>
    <phoneticPr fontId="6" type="noConversion"/>
  </si>
  <si>
    <t>158827703@qq.com</t>
    <phoneticPr fontId="6" type="noConversion"/>
  </si>
  <si>
    <t>597556550@qq.com</t>
    <phoneticPr fontId="6" type="noConversion"/>
  </si>
  <si>
    <t>409260385@qq.com</t>
    <phoneticPr fontId="6" type="noConversion"/>
  </si>
  <si>
    <t>834880329@qq.com</t>
    <phoneticPr fontId="6" type="noConversion"/>
  </si>
  <si>
    <t>1009271267@qq.com</t>
    <phoneticPr fontId="6" type="noConversion"/>
  </si>
  <si>
    <t>张洁</t>
    <phoneticPr fontId="6" type="noConversion"/>
  </si>
  <si>
    <t>254368731@qq.com</t>
    <phoneticPr fontId="6" type="noConversion"/>
  </si>
  <si>
    <t>lijiafei1022@126.com</t>
    <phoneticPr fontId="6" type="noConversion"/>
  </si>
  <si>
    <t>1142179627@qq.com</t>
    <phoneticPr fontId="6" type="noConversion"/>
  </si>
  <si>
    <t>驻马店上蔡</t>
    <phoneticPr fontId="6" type="noConversion"/>
  </si>
  <si>
    <t>周新闻</t>
    <phoneticPr fontId="6" type="noConversion"/>
  </si>
  <si>
    <t>370094791@qq.com</t>
    <phoneticPr fontId="6" type="noConversion"/>
  </si>
  <si>
    <t>1965672295@qq.com</t>
    <phoneticPr fontId="6" type="noConversion"/>
  </si>
  <si>
    <t>944121463@qq.com</t>
    <phoneticPr fontId="6" type="noConversion"/>
  </si>
  <si>
    <t>豫焦作修武七贤镇方庄大街店</t>
    <phoneticPr fontId="6" type="noConversion"/>
  </si>
  <si>
    <t>1248108496@qq.com</t>
    <phoneticPr fontId="6" type="noConversion"/>
  </si>
  <si>
    <t>369436447@qq.com</t>
    <phoneticPr fontId="6" type="noConversion"/>
  </si>
  <si>
    <t>174420451@qq.com</t>
    <phoneticPr fontId="6" type="noConversion"/>
  </si>
  <si>
    <t xml:space="preserve"> 鄂襄阳市人民路民发商业广场店</t>
  </si>
  <si>
    <t>2981894020@qq.com</t>
    <phoneticPr fontId="6" type="noConversion"/>
  </si>
  <si>
    <t>豫新乡滨湖大道恒大御景湾店</t>
  </si>
  <si>
    <t>2511468765@qq.com</t>
    <phoneticPr fontId="6" type="noConversion"/>
  </si>
  <si>
    <t>豫郑州新郑市凌霜街店</t>
  </si>
  <si>
    <t>853260288@qq.com</t>
    <phoneticPr fontId="6" type="noConversion"/>
  </si>
  <si>
    <t>3269193779@qq.com</t>
    <phoneticPr fontId="6" type="noConversion"/>
  </si>
  <si>
    <t>3269193779@qq.com</t>
  </si>
  <si>
    <t>853260288@qq.com</t>
  </si>
  <si>
    <t>9045</t>
  </si>
  <si>
    <t>9204</t>
  </si>
  <si>
    <t>9205</t>
  </si>
  <si>
    <t>9206</t>
  </si>
  <si>
    <t>9207</t>
  </si>
  <si>
    <t>9208</t>
  </si>
  <si>
    <t>fnyaoli@126.com</t>
  </si>
  <si>
    <t xml:space="preserve">931890968@qq.com </t>
  </si>
  <si>
    <t xml:space="preserve">870802495@qq.com </t>
  </si>
  <si>
    <t>丁巧先微信</t>
    <phoneticPr fontId="1" type="noConversion"/>
  </si>
  <si>
    <t>名称</t>
    <phoneticPr fontId="1" type="noConversion"/>
  </si>
  <si>
    <t>豫信阳淮滨高中店</t>
  </si>
  <si>
    <t>河南南阳南召黄洋路店</t>
  </si>
  <si>
    <t>豫新乡辉县共城大道店</t>
  </si>
  <si>
    <t>晋运城市平陆县向阳路店</t>
  </si>
  <si>
    <t>豫郑州中牟县官渡大街社保局店</t>
  </si>
  <si>
    <t>豫商丘市睢县凤城大道店</t>
  </si>
  <si>
    <t>皖芜湖市凤凰美食街店</t>
  </si>
  <si>
    <t>陕西安市高新四路店</t>
  </si>
  <si>
    <t>山西晋城红星西街店</t>
  </si>
  <si>
    <t>豫安阳滑县文明路店</t>
  </si>
  <si>
    <t>鄂大冶市新冶大道</t>
  </si>
  <si>
    <t xml:space="preserve">豫许昌禹州颍川路店 </t>
  </si>
  <si>
    <t>豫平顶山舞钢寺坡步行街店</t>
  </si>
  <si>
    <t xml:space="preserve">皖阜阳市阜南县淮河路店 </t>
  </si>
  <si>
    <t>豫商丘夏邑建设路实验中学店</t>
  </si>
  <si>
    <t>豫驻马店上蔡东大街一中店</t>
  </si>
  <si>
    <t>豫焦作修武七贤镇方庄大街店</t>
  </si>
  <si>
    <t xml:space="preserve">豫郑州白沙象湖路店 </t>
  </si>
  <si>
    <t xml:space="preserve">豫驻马店确山店 </t>
  </si>
  <si>
    <t>鄂襄阳市襄州区民发商业广场店</t>
  </si>
  <si>
    <t>豫新乡延津西大街店</t>
  </si>
  <si>
    <t xml:space="preserve">豫郑州开元路文创路万达店 </t>
  </si>
  <si>
    <t>豫驻马店正阳县东顺河街店</t>
  </si>
  <si>
    <t>豫平顶山鲁山人民路县医院店</t>
  </si>
  <si>
    <t>豫郑州中牟凤栖路地质家园店</t>
  </si>
  <si>
    <t>77438078@qq.com</t>
  </si>
  <si>
    <t>1851792712@qq.com</t>
    <phoneticPr fontId="1" type="noConversion"/>
  </si>
  <si>
    <t>豫周口太康阳夏路店</t>
  </si>
  <si>
    <t>2135029726@qq.com</t>
  </si>
  <si>
    <t>2135029726@qq.com</t>
    <phoneticPr fontId="1" type="noConversion"/>
  </si>
  <si>
    <t>门店代码</t>
  </si>
  <si>
    <t>9209</t>
  </si>
  <si>
    <t>406195895@qq.com</t>
  </si>
  <si>
    <t>86492578@qq.com</t>
    <phoneticPr fontId="1" type="noConversion"/>
  </si>
  <si>
    <t>9212</t>
  </si>
  <si>
    <t>晋太原长风街长江路店</t>
  </si>
  <si>
    <t>949404116@qq.com</t>
  </si>
  <si>
    <t>9213</t>
  </si>
  <si>
    <t>豫驻马店遂平县建设路店</t>
  </si>
  <si>
    <t>891497490@qq.com</t>
  </si>
  <si>
    <t>438013350@qq.com</t>
    <phoneticPr fontId="1" type="noConversion"/>
  </si>
  <si>
    <t>豫漯河召陵区万金镇店</t>
  </si>
  <si>
    <t>1229797850@qq.com</t>
    <phoneticPr fontId="1" type="noConversion"/>
  </si>
  <si>
    <t>豫鹤壁浚县黎阳路店</t>
  </si>
  <si>
    <t>794674985@qq.com</t>
    <phoneticPr fontId="1" type="noConversion"/>
  </si>
  <si>
    <t xml:space="preserve">豫驻马店泌阳人民路新一高店 </t>
  </si>
  <si>
    <t>277478307@qq.com</t>
    <phoneticPr fontId="1" type="noConversion"/>
  </si>
  <si>
    <t>Copy 模型v1.0.xlsx E:\加盟账单\2019账单\2019年04月\货品\账单汇总\账单\9001.xlsx</t>
    <phoneticPr fontId="1" type="noConversion"/>
  </si>
  <si>
    <t>9215</t>
  </si>
  <si>
    <t>9214</t>
  </si>
  <si>
    <t>9217</t>
  </si>
  <si>
    <t>感谢您的真诚合作，2019年04月份的对账单已发您邮箱，为了方便以后对账，请尽快核对账单并邮件回函账单核实情况,三天内未回复视为无误。（无论账单正确与否都请回函对账结果，谢谢！）请您尽快汇款，超过公司规定的欠款即停止供货！请您知悉并尽快汇款！</t>
  </si>
  <si>
    <t>1825528626@qq.com</t>
    <phoneticPr fontId="1" type="noConversion"/>
  </si>
  <si>
    <t>豫信阳潢川迎宾路店</t>
  </si>
  <si>
    <t>12399286@qq.com</t>
    <phoneticPr fontId="1" type="noConversion"/>
  </si>
  <si>
    <t>763104884@qq.com'</t>
    <phoneticPr fontId="1" type="noConversion"/>
  </si>
  <si>
    <t>豫新郑龙湖兴龙湾店</t>
  </si>
  <si>
    <t>2578916856@qq.com</t>
    <phoneticPr fontId="1" type="noConversion"/>
  </si>
  <si>
    <t>感谢您的真诚合作，2019年04月份的对账单已发您邮箱，为了方便以后对账，请尽快核对账单并邮件回函账单核实情况,三天内未回复视为无误。（无论账单正确与否都请回函对账结果，谢谢！）请您尽快汇款，超过公司规定的欠款即停止供货！请您知悉并尽快汇款！</t>
    <phoneticPr fontId="1" type="noConversion"/>
  </si>
  <si>
    <t>1851792712@qq.com</t>
  </si>
  <si>
    <t>丁巧先微信</t>
  </si>
  <si>
    <t>569227939@qq.com</t>
    <phoneticPr fontId="1" type="noConversion"/>
  </si>
  <si>
    <t>2578916856@qq.com</t>
  </si>
  <si>
    <t>29218</t>
  </si>
  <si>
    <t>29219</t>
  </si>
  <si>
    <t>新代码</t>
    <phoneticPr fontId="1" type="noConversion"/>
  </si>
  <si>
    <t>29001</t>
  </si>
  <si>
    <t>29008</t>
  </si>
  <si>
    <t>29009</t>
  </si>
  <si>
    <t>29011</t>
  </si>
  <si>
    <t>29012</t>
  </si>
  <si>
    <t>29013</t>
  </si>
  <si>
    <t>29014</t>
  </si>
  <si>
    <t>29015</t>
  </si>
  <si>
    <t>29016</t>
  </si>
  <si>
    <t>29017</t>
  </si>
  <si>
    <t>29018</t>
  </si>
  <si>
    <t>29019</t>
  </si>
  <si>
    <t>29020</t>
  </si>
  <si>
    <t>29021</t>
  </si>
  <si>
    <t>29023</t>
  </si>
  <si>
    <t>29024</t>
  </si>
  <si>
    <t>29025</t>
  </si>
  <si>
    <t>29031</t>
  </si>
  <si>
    <t>29036</t>
  </si>
  <si>
    <t>29038</t>
  </si>
  <si>
    <t>29039</t>
  </si>
  <si>
    <t>29040</t>
  </si>
  <si>
    <t>29042</t>
  </si>
  <si>
    <t>29044</t>
  </si>
  <si>
    <t>29045</t>
  </si>
  <si>
    <t>29046</t>
  </si>
  <si>
    <t>29047</t>
  </si>
  <si>
    <t>29049</t>
  </si>
  <si>
    <t>29050</t>
  </si>
  <si>
    <t>29053</t>
  </si>
  <si>
    <t>29054</t>
  </si>
  <si>
    <t>29055</t>
  </si>
  <si>
    <t>29056</t>
  </si>
  <si>
    <t>29057</t>
  </si>
  <si>
    <t>29058</t>
  </si>
  <si>
    <t>29059</t>
  </si>
  <si>
    <t>29069</t>
  </si>
  <si>
    <t>29071</t>
  </si>
  <si>
    <t>29072</t>
  </si>
  <si>
    <t>29073</t>
  </si>
  <si>
    <t>29074</t>
  </si>
  <si>
    <t>29075</t>
  </si>
  <si>
    <t>29076</t>
  </si>
  <si>
    <t>29084</t>
  </si>
  <si>
    <t>29085</t>
  </si>
  <si>
    <t>29086</t>
  </si>
  <si>
    <t>29087</t>
  </si>
  <si>
    <t>29088</t>
  </si>
  <si>
    <t>29089</t>
  </si>
  <si>
    <t>29090</t>
  </si>
  <si>
    <t>29091</t>
  </si>
  <si>
    <t>29092</t>
  </si>
  <si>
    <t>29095</t>
  </si>
  <si>
    <t>29097</t>
  </si>
  <si>
    <t>29098</t>
  </si>
  <si>
    <t>29100</t>
  </si>
  <si>
    <t>29104</t>
  </si>
  <si>
    <t>29105</t>
  </si>
  <si>
    <t>29106</t>
  </si>
  <si>
    <t>29107</t>
  </si>
  <si>
    <t>29111</t>
  </si>
  <si>
    <t>29112</t>
  </si>
  <si>
    <t>29113</t>
  </si>
  <si>
    <t>29114</t>
  </si>
  <si>
    <t>29115</t>
  </si>
  <si>
    <t>29116</t>
  </si>
  <si>
    <t>29118</t>
  </si>
  <si>
    <t>29119</t>
  </si>
  <si>
    <t>29121</t>
  </si>
  <si>
    <t>29125</t>
  </si>
  <si>
    <t>29127</t>
  </si>
  <si>
    <t>29128</t>
  </si>
  <si>
    <t>29129</t>
  </si>
  <si>
    <t>29130</t>
  </si>
  <si>
    <t>29132</t>
  </si>
  <si>
    <t>29133</t>
  </si>
  <si>
    <t>29137</t>
  </si>
  <si>
    <t>29138</t>
  </si>
  <si>
    <t>29139</t>
  </si>
  <si>
    <t>29140</t>
  </si>
  <si>
    <t>29145</t>
  </si>
  <si>
    <t>29146</t>
  </si>
  <si>
    <t>29147</t>
  </si>
  <si>
    <t>29148</t>
  </si>
  <si>
    <t>29149</t>
  </si>
  <si>
    <t>29150</t>
  </si>
  <si>
    <t>29151</t>
  </si>
  <si>
    <t>29153</t>
  </si>
  <si>
    <t>29155</t>
  </si>
  <si>
    <t>29156</t>
  </si>
  <si>
    <t>29157</t>
  </si>
  <si>
    <t>29159</t>
  </si>
  <si>
    <t>29160</t>
  </si>
  <si>
    <t>29161</t>
  </si>
  <si>
    <t>29162</t>
  </si>
  <si>
    <t>29164</t>
  </si>
  <si>
    <t>29165</t>
  </si>
  <si>
    <t>29166</t>
  </si>
  <si>
    <t>29168</t>
  </si>
  <si>
    <t>29062</t>
  </si>
  <si>
    <t>29064</t>
  </si>
  <si>
    <t>29060</t>
  </si>
  <si>
    <t>29030</t>
  </si>
  <si>
    <t>29002</t>
  </si>
  <si>
    <t>29174</t>
  </si>
  <si>
    <t>29003</t>
  </si>
  <si>
    <t>29176</t>
  </si>
  <si>
    <t>29177</t>
  </si>
  <si>
    <t>29178</t>
  </si>
  <si>
    <t>29179</t>
  </si>
  <si>
    <t>29180</t>
  </si>
  <si>
    <t>29181</t>
  </si>
  <si>
    <t>29182</t>
  </si>
  <si>
    <t>29183</t>
  </si>
  <si>
    <t>29184</t>
  </si>
  <si>
    <t>29185</t>
  </si>
  <si>
    <t>29186</t>
  </si>
  <si>
    <t>29187</t>
  </si>
  <si>
    <t>29188</t>
  </si>
  <si>
    <t>29189</t>
  </si>
  <si>
    <t>29190</t>
  </si>
  <si>
    <t>29191</t>
  </si>
  <si>
    <t>29192</t>
  </si>
  <si>
    <t>29193</t>
  </si>
  <si>
    <t>29194</t>
  </si>
  <si>
    <t>29195</t>
  </si>
  <si>
    <t>29196</t>
  </si>
  <si>
    <t>29197</t>
  </si>
  <si>
    <t>29198</t>
  </si>
  <si>
    <t>29199</t>
  </si>
  <si>
    <t>29200</t>
  </si>
  <si>
    <t>29201</t>
  </si>
  <si>
    <t>29202</t>
  </si>
  <si>
    <t>29203</t>
  </si>
  <si>
    <t>29204</t>
  </si>
  <si>
    <t>29205</t>
  </si>
  <si>
    <t>29206</t>
  </si>
  <si>
    <t>29207</t>
  </si>
  <si>
    <t>29208</t>
  </si>
  <si>
    <t>29216</t>
  </si>
  <si>
    <t>29209</t>
  </si>
  <si>
    <t>29212</t>
  </si>
  <si>
    <t>29213</t>
  </si>
  <si>
    <t>29215</t>
  </si>
  <si>
    <t>29214</t>
  </si>
  <si>
    <t>29217</t>
  </si>
  <si>
    <t>PATH</t>
    <phoneticPr fontId="1" type="noConversion"/>
  </si>
  <si>
    <t>rabbit_2426@163.com</t>
    <phoneticPr fontId="1" type="noConversion"/>
  </si>
  <si>
    <t>29220</t>
  </si>
  <si>
    <t>29221</t>
  </si>
  <si>
    <t>29222</t>
  </si>
  <si>
    <t>29171</t>
  </si>
  <si>
    <t>豫开封杞县工业路店</t>
  </si>
  <si>
    <t>豫新郑薛店镇薛店大道店</t>
  </si>
  <si>
    <t>豫郑州中牟学苑路龙苑小区店</t>
  </si>
  <si>
    <t>254368731@qq.com</t>
    <phoneticPr fontId="1" type="noConversion"/>
  </si>
  <si>
    <t>批量生成Excel文件V1.0.</t>
  </si>
  <si>
    <t>备案</t>
  </si>
  <si>
    <t xml:space="preserve">1259070487@qq.com </t>
    <phoneticPr fontId="1" type="noConversion"/>
  </si>
  <si>
    <t>794674985@qq.com</t>
  </si>
  <si>
    <t>277478307@qq.com</t>
  </si>
  <si>
    <t>153655663@qq.com</t>
    <phoneticPr fontId="1" type="noConversion"/>
  </si>
  <si>
    <t>763104884@qq.com'</t>
  </si>
  <si>
    <t>29034</t>
  </si>
  <si>
    <t>29052</t>
  </si>
  <si>
    <t>29067</t>
  </si>
  <si>
    <t>29211</t>
  </si>
  <si>
    <t>29223</t>
  </si>
  <si>
    <t>29224</t>
  </si>
  <si>
    <t>29225</t>
  </si>
  <si>
    <t>门店代码</t>
    <phoneticPr fontId="1" type="noConversion"/>
  </si>
  <si>
    <t xml:space="preserve">1259070487@qq.com </t>
  </si>
  <si>
    <t>rabbit_2426@163.com</t>
  </si>
  <si>
    <t>693791269@qq.com</t>
    <phoneticPr fontId="1" type="noConversion"/>
  </si>
  <si>
    <t>2410888347@qq.com</t>
    <phoneticPr fontId="1" type="noConversion"/>
  </si>
  <si>
    <t>354339099@qq.com</t>
    <phoneticPr fontId="1" type="noConversion"/>
  </si>
  <si>
    <t>764876545@qq.com</t>
    <phoneticPr fontId="1" type="noConversion"/>
  </si>
  <si>
    <t>78185462@qq.com</t>
    <phoneticPr fontId="1" type="noConversion"/>
  </si>
  <si>
    <t>28036147@qq.com</t>
    <phoneticPr fontId="1" type="noConversion"/>
  </si>
  <si>
    <t>68093746@qq.com</t>
    <phoneticPr fontId="1" type="noConversion"/>
  </si>
  <si>
    <t>821696342@qq.com</t>
  </si>
  <si>
    <t>396991058@qq.com</t>
  </si>
  <si>
    <t>12399286@qq.com</t>
  </si>
  <si>
    <t>29077</t>
  </si>
  <si>
    <t>豫南阳车站路店</t>
  </si>
  <si>
    <t>豫郑州白沙象湖路店</t>
  </si>
  <si>
    <t>豫驻马店确山县护城河路一中店</t>
  </si>
  <si>
    <t>河南周口商水县健康路店</t>
  </si>
  <si>
    <t>豫驻马店泌阳人民路新一高店</t>
  </si>
  <si>
    <t>豫周口项城西大街店</t>
  </si>
  <si>
    <t xml:space="preserve">豫开封杞县工业路店 </t>
  </si>
  <si>
    <t>豫郑州中牟·学苑路一高店</t>
  </si>
  <si>
    <t xml:space="preserve"> 豫周口鹿邑县栾台路店</t>
  </si>
  <si>
    <t>鲁菏泽曹县五台山路店</t>
  </si>
  <si>
    <t xml:space="preserve"> 豫郑州郑东新区十里铺街店 </t>
  </si>
  <si>
    <t>763104884@qq.com</t>
  </si>
  <si>
    <t>1498738573@qq.com</t>
  </si>
  <si>
    <t>E:\加盟账单\2019账单\2019年07月\商品\账单\29001.xlsx</t>
  </si>
  <si>
    <t>E:\加盟账单\2019账单\2019年07月\商品\账单\29008.xlsx</t>
  </si>
  <si>
    <t>E:\加盟账单\2019账单\2019年07月\商品\账单\29009.xlsx</t>
  </si>
  <si>
    <t>E:\加盟账单\2019账单\2019年07月\商品\账单\29011.xlsx</t>
  </si>
  <si>
    <t>E:\加盟账单\2019账单\2019年07月\商品\账单\29012.xlsx</t>
  </si>
  <si>
    <t>E:\加盟账单\2019账单\2019年07月\商品\账单\29013.xlsx</t>
  </si>
  <si>
    <t>E:\加盟账单\2019账单\2019年07月\商品\账单\29014.xlsx</t>
  </si>
  <si>
    <t>E:\加盟账单\2019账单\2019年07月\商品\账单\29015.xlsx</t>
  </si>
  <si>
    <t>E:\加盟账单\2019账单\2019年07月\商品\账单\29016.xlsx</t>
  </si>
  <si>
    <t>E:\加盟账单\2019账单\2019年07月\商品\账单\29017.xlsx</t>
  </si>
  <si>
    <t>E:\加盟账单\2019账单\2019年07月\商品\账单\29018.xlsx</t>
  </si>
  <si>
    <t>E:\加盟账单\2019账单\2019年07月\商品\账单\29019.xlsx</t>
  </si>
  <si>
    <t>E:\加盟账单\2019账单\2019年07月\商品\账单\29020.xlsx</t>
  </si>
  <si>
    <t>E:\加盟账单\2019账单\2019年07月\商品\账单\29021.xlsx</t>
  </si>
  <si>
    <t>E:\加盟账单\2019账单\2019年07月\商品\账单\29023.xlsx</t>
  </si>
  <si>
    <t>E:\加盟账单\2019账单\2019年07月\商品\账单\29024.xlsx</t>
  </si>
  <si>
    <t>E:\加盟账单\2019账单\2019年07月\商品\账单\29025.xlsx</t>
  </si>
  <si>
    <t>E:\加盟账单\2019账单\2019年07月\商品\账单\29031.xlsx</t>
  </si>
  <si>
    <t>E:\加盟账单\2019账单\2019年07月\商品\账单\29034.xlsx</t>
  </si>
  <si>
    <t>E:\加盟账单\2019账单\2019年07月\商品\账单\29036.xlsx</t>
  </si>
  <si>
    <t>E:\加盟账单\2019账单\2019年07月\商品\账单\29038.xlsx</t>
  </si>
  <si>
    <t>E:\加盟账单\2019账单\2019年07月\商品\账单\29039.xlsx</t>
  </si>
  <si>
    <t>E:\加盟账单\2019账单\2019年07月\商品\账单\29040.xlsx</t>
  </si>
  <si>
    <t>E:\加盟账单\2019账单\2019年07月\商品\账单\29042.xlsx</t>
  </si>
  <si>
    <t>E:\加盟账单\2019账单\2019年07月\商品\账单\29044.xlsx</t>
  </si>
  <si>
    <t>E:\加盟账单\2019账单\2019年07月\商品\账单\29046.xlsx</t>
  </si>
  <si>
    <t>E:\加盟账单\2019账单\2019年07月\商品\账单\29047.xlsx</t>
  </si>
  <si>
    <t>E:\加盟账单\2019账单\2019年07月\商品\账单\29049.xlsx</t>
  </si>
  <si>
    <t>E:\加盟账单\2019账单\2019年07月\商品\账单\29050.xlsx</t>
  </si>
  <si>
    <t>E:\加盟账单\2019账单\2019年07月\商品\账单\29052.xlsx</t>
  </si>
  <si>
    <t>E:\加盟账单\2019账单\2019年07月\商品\账单\29053.xlsx</t>
  </si>
  <si>
    <t>E:\加盟账单\2019账单\2019年07月\商品\账单\29054.xlsx</t>
  </si>
  <si>
    <t>E:\加盟账单\2019账单\2019年07月\商品\账单\29055.xlsx</t>
  </si>
  <si>
    <t>E:\加盟账单\2019账单\2019年07月\商品\账单\29056.xlsx</t>
  </si>
  <si>
    <t>E:\加盟账单\2019账单\2019年07月\商品\账单\29057.xlsx</t>
  </si>
  <si>
    <t>E:\加盟账单\2019账单\2019年07月\商品\账单\29058.xlsx</t>
  </si>
  <si>
    <t>E:\加盟账单\2019账单\2019年07月\商品\账单\29059.xlsx</t>
  </si>
  <si>
    <t>E:\加盟账单\2019账单\2019年07月\商品\账单\29067.xlsx</t>
  </si>
  <si>
    <t>E:\加盟账单\2019账单\2019年07月\商品\账单\29069.xlsx</t>
  </si>
  <si>
    <t>E:\加盟账单\2019账单\2019年07月\商品\账单\29071.xlsx</t>
  </si>
  <si>
    <t>E:\加盟账单\2019账单\2019年07月\商品\账单\29072.xlsx</t>
  </si>
  <si>
    <t>E:\加盟账单\2019账单\2019年07月\商品\账单\29073.xlsx</t>
  </si>
  <si>
    <t>E:\加盟账单\2019账单\2019年07月\商品\账单\29074.xlsx</t>
  </si>
  <si>
    <t>E:\加盟账单\2019账单\2019年07月\商品\账单\29075.xlsx</t>
  </si>
  <si>
    <t>E:\加盟账单\2019账单\2019年07月\商品\账单\29076.xlsx</t>
  </si>
  <si>
    <t>E:\加盟账单\2019账单\2019年07月\商品\账单\29084.xlsx</t>
  </si>
  <si>
    <t>E:\加盟账单\2019账单\2019年07月\商品\账单\29085.xlsx</t>
  </si>
  <si>
    <t>E:\加盟账单\2019账单\2019年07月\商品\账单\29086.xlsx</t>
  </si>
  <si>
    <t>E:\加盟账单\2019账单\2019年07月\商品\账单\29087.xlsx</t>
  </si>
  <si>
    <t>E:\加盟账单\2019账单\2019年07月\商品\账单\29088.xlsx</t>
  </si>
  <si>
    <t>E:\加盟账单\2019账单\2019年07月\商品\账单\29089.xlsx</t>
  </si>
  <si>
    <t>E:\加盟账单\2019账单\2019年07月\商品\账单\29090.xlsx</t>
  </si>
  <si>
    <t>E:\加盟账单\2019账单\2019年07月\商品\账单\29091.xlsx</t>
  </si>
  <si>
    <t>E:\加盟账单\2019账单\2019年07月\商品\账单\29092.xlsx</t>
  </si>
  <si>
    <t>E:\加盟账单\2019账单\2019年07月\商品\账单\29095.xlsx</t>
  </si>
  <si>
    <t>E:\加盟账单\2019账单\2019年07月\商品\账单\29097.xlsx</t>
  </si>
  <si>
    <t>E:\加盟账单\2019账单\2019年07月\商品\账单\29098.xlsx</t>
  </si>
  <si>
    <t>E:\加盟账单\2019账单\2019年07月\商品\账单\29100.xlsx</t>
  </si>
  <si>
    <t>E:\加盟账单\2019账单\2019年07月\商品\账单\29104.xlsx</t>
  </si>
  <si>
    <t>E:\加盟账单\2019账单\2019年07月\商品\账单\29105.xlsx</t>
  </si>
  <si>
    <t>E:\加盟账单\2019账单\2019年07月\商品\账单\29106.xlsx</t>
  </si>
  <si>
    <t>E:\加盟账单\2019账单\2019年07月\商品\账单\29107.xlsx</t>
  </si>
  <si>
    <t>E:\加盟账单\2019账单\2019年07月\商品\账单\29111.xlsx</t>
  </si>
  <si>
    <t>E:\加盟账单\2019账单\2019年07月\商品\账单\29112.xlsx</t>
  </si>
  <si>
    <t>E:\加盟账单\2019账单\2019年07月\商品\账单\29113.xlsx</t>
  </si>
  <si>
    <t>E:\加盟账单\2019账单\2019年07月\商品\账单\29114.xlsx</t>
  </si>
  <si>
    <t>E:\加盟账单\2019账单\2019年07月\商品\账单\29115.xlsx</t>
  </si>
  <si>
    <t>E:\加盟账单\2019账单\2019年07月\商品\账单\29116.xlsx</t>
  </si>
  <si>
    <t>E:\加盟账单\2019账单\2019年07月\商品\账单\29118.xlsx</t>
  </si>
  <si>
    <t>E:\加盟账单\2019账单\2019年07月\商品\账单\29119.xlsx</t>
  </si>
  <si>
    <t>E:\加盟账单\2019账单\2019年07月\商品\账单\29121.xlsx</t>
  </si>
  <si>
    <t>E:\加盟账单\2019账单\2019年07月\商品\账单\29125.xlsx</t>
  </si>
  <si>
    <t>E:\加盟账单\2019账单\2019年07月\商品\账单\29127.xlsx</t>
  </si>
  <si>
    <t>E:\加盟账单\2019账单\2019年07月\商品\账单\29128.xlsx</t>
  </si>
  <si>
    <t>E:\加盟账单\2019账单\2019年07月\商品\账单\29129.xlsx</t>
  </si>
  <si>
    <t>E:\加盟账单\2019账单\2019年07月\商品\账单\29130.xlsx</t>
  </si>
  <si>
    <t>E:\加盟账单\2019账单\2019年07月\商品\账单\29132.xlsx</t>
  </si>
  <si>
    <t>E:\加盟账单\2019账单\2019年07月\商品\账单\29133.xlsx</t>
  </si>
  <si>
    <t>E:\加盟账单\2019账单\2019年07月\商品\账单\29137.xlsx</t>
  </si>
  <si>
    <t>E:\加盟账单\2019账单\2019年07月\商品\账单\29138.xlsx</t>
  </si>
  <si>
    <t>E:\加盟账单\2019账单\2019年07月\商品\账单\29139.xlsx</t>
  </si>
  <si>
    <t>E:\加盟账单\2019账单\2019年07月\商品\账单\29140.xlsx</t>
  </si>
  <si>
    <t>E:\加盟账单\2019账单\2019年07月\商品\账单\29145.xlsx</t>
  </si>
  <si>
    <t>E:\加盟账单\2019账单\2019年07月\商品\账单\29146.xlsx</t>
  </si>
  <si>
    <t>E:\加盟账单\2019账单\2019年07月\商品\账单\29147.xlsx</t>
  </si>
  <si>
    <t>E:\加盟账单\2019账单\2019年07月\商品\账单\29148.xlsx</t>
  </si>
  <si>
    <t>E:\加盟账单\2019账单\2019年07月\商品\账单\29149.xlsx</t>
  </si>
  <si>
    <t>E:\加盟账单\2019账单\2019年07月\商品\账单\29150.xlsx</t>
  </si>
  <si>
    <t>E:\加盟账单\2019账单\2019年07月\商品\账单\29151.xlsx</t>
  </si>
  <si>
    <t>E:\加盟账单\2019账单\2019年07月\商品\账单\29153.xlsx</t>
  </si>
  <si>
    <t>E:\加盟账单\2019账单\2019年07月\商品\账单\29155.xlsx</t>
  </si>
  <si>
    <t>E:\加盟账单\2019账单\2019年07月\商品\账单\29156.xlsx</t>
  </si>
  <si>
    <t>E:\加盟账单\2019账单\2019年07月\商品\账单\29157.xlsx</t>
  </si>
  <si>
    <t>E:\加盟账单\2019账单\2019年07月\商品\账单\29159.xlsx</t>
  </si>
  <si>
    <t>E:\加盟账单\2019账单\2019年07月\商品\账单\29160.xlsx</t>
  </si>
  <si>
    <t>E:\加盟账单\2019账单\2019年07月\商品\账单\29161.xlsx</t>
  </si>
  <si>
    <t>E:\加盟账单\2019账单\2019年07月\商品\账单\29162.xlsx</t>
  </si>
  <si>
    <t>E:\加盟账单\2019账单\2019年07月\商品\账单\29164.xlsx</t>
  </si>
  <si>
    <t>E:\加盟账单\2019账单\2019年07月\商品\账单\29165.xlsx</t>
  </si>
  <si>
    <t>E:\加盟账单\2019账单\2019年07月\商品\账单\29166.xlsx</t>
  </si>
  <si>
    <t>E:\加盟账单\2019账单\2019年07月\商品\账单\29168.xlsx</t>
  </si>
  <si>
    <t>E:\加盟账单\2019账单\2019年07月\商品\账单\29062.xlsx</t>
  </si>
  <si>
    <t>E:\加盟账单\2019账单\2019年07月\商品\账单\29064.xlsx</t>
  </si>
  <si>
    <t>E:\加盟账单\2019账单\2019年07月\商品\账单\29060.xlsx</t>
  </si>
  <si>
    <t>E:\加盟账单\2019账单\2019年07月\商品\账单\29002.xlsx</t>
  </si>
  <si>
    <t>E:\加盟账单\2019账单\2019年07月\商品\账单\29174.xlsx</t>
  </si>
  <si>
    <t>E:\加盟账单\2019账单\2019年07月\商品\账单\29003.xlsx</t>
  </si>
  <si>
    <t>E:\加盟账单\2019账单\2019年07月\商品\账单\29176.xlsx</t>
  </si>
  <si>
    <t>E:\加盟账单\2019账单\2019年07月\商品\账单\29177.xlsx</t>
  </si>
  <si>
    <t>E:\加盟账单\2019账单\2019年07月\商品\账单\29178.xlsx</t>
  </si>
  <si>
    <t>E:\加盟账单\2019账单\2019年07月\商品\账单\29179.xlsx</t>
  </si>
  <si>
    <t>E:\加盟账单\2019账单\2019年07月\商品\账单\29180.xlsx</t>
  </si>
  <si>
    <t>E:\加盟账单\2019账单\2019年07月\商品\账单\29181.xlsx</t>
  </si>
  <si>
    <t>E:\加盟账单\2019账单\2019年07月\商品\账单\29182.xlsx</t>
  </si>
  <si>
    <t>E:\加盟账单\2019账单\2019年07月\商品\账单\29183.xlsx</t>
  </si>
  <si>
    <t>E:\加盟账单\2019账单\2019年07月\商品\账单\29184.xlsx</t>
  </si>
  <si>
    <t>E:\加盟账单\2019账单\2019年07月\商品\账单\29185.xlsx</t>
  </si>
  <si>
    <t>E:\加盟账单\2019账单\2019年07月\商品\账单\29186.xlsx</t>
  </si>
  <si>
    <t>E:\加盟账单\2019账单\2019年07月\商品\账单\29187.xlsx</t>
  </si>
  <si>
    <t>E:\加盟账单\2019账单\2019年07月\商品\账单\29188.xlsx</t>
  </si>
  <si>
    <t>E:\加盟账单\2019账单\2019年07月\商品\账单\29189.xlsx</t>
  </si>
  <si>
    <t>E:\加盟账单\2019账单\2019年07月\商品\账单\29190.xlsx</t>
  </si>
  <si>
    <t>E:\加盟账单\2019账单\2019年07月\商品\账单\29191.xlsx</t>
  </si>
  <si>
    <t>E:\加盟账单\2019账单\2019年07月\商品\账单\29192.xlsx</t>
  </si>
  <si>
    <t>E:\加盟账单\2019账单\2019年07月\商品\账单\29216.xlsx</t>
  </si>
  <si>
    <t>E:\加盟账单\2019账单\2019年07月\商品\账单\29194.xlsx</t>
  </si>
  <si>
    <t>E:\加盟账单\2019账单\2019年07月\商品\账单\29193.xlsx</t>
  </si>
  <si>
    <t>E:\加盟账单\2019账单\2019年07月\商品\账单\29195.xlsx</t>
  </si>
  <si>
    <t>E:\加盟账单\2019账单\2019年07月\商品\账单\29196.xlsx</t>
  </si>
  <si>
    <t>E:\加盟账单\2019账单\2019年07月\商品\账单\29197.xlsx</t>
  </si>
  <si>
    <t>E:\加盟账单\2019账单\2019年07月\商品\账单\29198.xlsx</t>
  </si>
  <si>
    <t>E:\加盟账单\2019账单\2019年07月\商品\账单\29199.xlsx</t>
  </si>
  <si>
    <t>E:\加盟账单\2019账单\2019年07月\商品\账单\29200.xlsx</t>
  </si>
  <si>
    <t>E:\加盟账单\2019账单\2019年07月\商品\账单\29201.xlsx</t>
  </si>
  <si>
    <t>E:\加盟账单\2019账单\2019年07月\商品\账单\29202.xlsx</t>
  </si>
  <si>
    <t>E:\加盟账单\2019账单\2019年07月\商品\账单\29203.xlsx</t>
  </si>
  <si>
    <t>E:\加盟账单\2019账单\2019年07月\商品\账单\29045.xlsx</t>
  </si>
  <si>
    <t>E:\加盟账单\2019账单\2019年07月\商品\账单\29204.xlsx</t>
  </si>
  <si>
    <t>E:\加盟账单\2019账单\2019年07月\商品\账单\29205.xlsx</t>
  </si>
  <si>
    <t>E:\加盟账单\2019账单\2019年07月\商品\账单\29206.xlsx</t>
  </si>
  <si>
    <t>E:\加盟账单\2019账单\2019年07月\商品\账单\29207.xlsx</t>
  </si>
  <si>
    <t>E:\加盟账单\2019账单\2019年07月\商品\账单\29208.xlsx</t>
  </si>
  <si>
    <t>E:\加盟账单\2019账单\2019年07月\商品\账单\29077.xlsx</t>
  </si>
  <si>
    <t>E:\加盟账单\2019账单\2019年07月\商品\账单\29209.xlsx</t>
  </si>
  <si>
    <t>E:\加盟账单\2019账单\2019年07月\商品\账单\29212.xlsx</t>
  </si>
  <si>
    <t>E:\加盟账单\2019账单\2019年07月\商品\账单\29213.xlsx</t>
  </si>
  <si>
    <t>E:\加盟账单\2019账单\2019年07月\商品\账单\29214.xlsx</t>
  </si>
  <si>
    <t>E:\加盟账单\2019账单\2019年07月\商品\账单\29215.xlsx</t>
  </si>
  <si>
    <t>E:\加盟账单\2019账单\2019年07月\商品\账单\29217.xlsx</t>
  </si>
  <si>
    <t>E:\加盟账单\2019账单\2019年07月\商品\账单\29218.xlsx</t>
  </si>
  <si>
    <t>E:\加盟账单\2019账单\2019年07月\商品\账单\29211.xlsx</t>
  </si>
  <si>
    <t>E:\加盟账单\2019账单\2019年07月\商品\账单\29171.xlsx</t>
  </si>
  <si>
    <t>E:\加盟账单\2019账单\2019年07月\商品\账单\29219.xlsx</t>
  </si>
  <si>
    <t>E:\加盟账单\2019账单\2019年07月\商品\账单\29220.xlsx</t>
  </si>
  <si>
    <t>E:\加盟账单\2019账单\2019年07月\商品\账单\29221.xlsx</t>
  </si>
  <si>
    <t>E:\加盟账单\2019账单\2019年07月\商品\账单\29222.xlsx</t>
  </si>
  <si>
    <t>E:\加盟账单\2019账单\2019年07月\商品\账单\29223.xlsx</t>
  </si>
  <si>
    <t>E:\加盟账单\2019账单\2019年07月\商品\账单\29224.xlsx</t>
  </si>
  <si>
    <t>E:\加盟账单\2019账单\2019年07月\商品\账单\29225.xlsx</t>
  </si>
  <si>
    <t>闭店</t>
    <phoneticPr fontId="1" type="noConversion"/>
  </si>
  <si>
    <t>3246287389@qq.com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</si>
</sst>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1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u/>
      <sz val="11"/>
      <color theme="10"/>
      <name val="Tahoma"/>
      <family val="2"/>
    </font>
    <font>
      <u/>
      <sz val="11"/>
      <color theme="10"/>
      <name val="宋体"/>
      <family val="3"/>
      <charset val="134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rgb="FF800080"/>
      <name val="Tahoma"/>
      <family val="2"/>
    </font>
    <font>
      <sz val="9"/>
      <name val="宋体"/>
      <family val="3"/>
      <charset val="134"/>
    </font>
    <font>
      <u/>
      <sz val="11"/>
      <color theme="10"/>
      <name val="宋体"/>
      <family val="2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b/>
      <sz val="10"/>
      <color theme="0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49" fontId="4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49" fontId="4" fillId="0" borderId="1" xfId="0" applyNumberFormat="1" applyFont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5" fillId="0" borderId="0" xfId="0" applyFont="1" applyAlignment="1"/>
    <xf numFmtId="0" fontId="0" fillId="0" borderId="0" xfId="0" applyAlignment="1"/>
    <xf numFmtId="49" fontId="4" fillId="0" borderId="2" xfId="0" applyNumberFormat="1" applyFont="1" applyBorder="1" applyAlignment="1"/>
    <xf numFmtId="0" fontId="4" fillId="0" borderId="3" xfId="0" applyFont="1" applyBorder="1" applyAlignment="1"/>
    <xf numFmtId="0" fontId="4" fillId="0" borderId="1" xfId="0" applyFont="1" applyBorder="1" applyAlignment="1"/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/>
    <xf numFmtId="0" fontId="8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4" fillId="0" borderId="4" xfId="0" applyFont="1" applyBorder="1" applyAlignment="1"/>
    <xf numFmtId="0" fontId="3" fillId="0" borderId="1" xfId="1" applyBorder="1" applyAlignment="1">
      <alignment horizontal="left"/>
    </xf>
    <xf numFmtId="49" fontId="4" fillId="0" borderId="5" xfId="0" applyNumberFormat="1" applyFont="1" applyBorder="1" applyAlignment="1"/>
    <xf numFmtId="0" fontId="3" fillId="0" borderId="0" xfId="1" applyAlignment="1"/>
    <xf numFmtId="0" fontId="4" fillId="2" borderId="1" xfId="0" applyFont="1" applyFill="1" applyBorder="1" applyAlignment="1">
      <alignment wrapText="1"/>
    </xf>
    <xf numFmtId="0" fontId="0" fillId="0" borderId="5" xfId="0" applyBorder="1" applyAlignment="1"/>
    <xf numFmtId="0" fontId="0" fillId="0" borderId="4" xfId="0" applyBorder="1" applyAlignment="1"/>
    <xf numFmtId="0" fontId="0" fillId="0" borderId="1" xfId="0" applyBorder="1" applyAlignment="1"/>
    <xf numFmtId="176" fontId="0" fillId="0" borderId="1" xfId="0" applyNumberFormat="1" applyBorder="1" applyAlignment="1"/>
    <xf numFmtId="49" fontId="4" fillId="0" borderId="5" xfId="0" applyNumberFormat="1" applyFont="1" applyBorder="1" applyAlignment="1">
      <alignment wrapText="1"/>
    </xf>
    <xf numFmtId="0" fontId="4" fillId="0" borderId="4" xfId="0" applyFont="1" applyBorder="1" applyAlignment="1">
      <alignment wrapText="1"/>
    </xf>
    <xf numFmtId="49" fontId="4" fillId="0" borderId="1" xfId="0" applyNumberFormat="1" applyFont="1" applyBorder="1" applyAlignment="1">
      <alignment wrapText="1"/>
    </xf>
    <xf numFmtId="0" fontId="3" fillId="0" borderId="1" xfId="1" applyBorder="1" applyAlignment="1">
      <alignment horizontal="left" wrapText="1"/>
    </xf>
    <xf numFmtId="49" fontId="4" fillId="2" borderId="1" xfId="0" applyNumberFormat="1" applyFont="1" applyFill="1" applyBorder="1" applyAlignment="1">
      <alignment horizontal="left"/>
    </xf>
    <xf numFmtId="49" fontId="4" fillId="0" borderId="0" xfId="0" applyNumberFormat="1" applyFont="1" applyAlignment="1"/>
    <xf numFmtId="0" fontId="4" fillId="0" borderId="0" xfId="0" applyFont="1" applyAlignment="1"/>
    <xf numFmtId="49" fontId="3" fillId="0" borderId="1" xfId="1" applyNumberFormat="1" applyBorder="1" applyAlignment="1">
      <alignment horizontal="left"/>
    </xf>
    <xf numFmtId="0" fontId="11" fillId="0" borderId="1" xfId="1" applyFont="1" applyBorder="1" applyAlignment="1">
      <alignment horizontal="left"/>
    </xf>
    <xf numFmtId="0" fontId="3" fillId="0" borderId="1" xfId="1" applyBorder="1" applyAlignment="1"/>
    <xf numFmtId="0" fontId="3" fillId="0" borderId="1" xfId="1" applyBorder="1" applyAlignment="1">
      <alignment horizontal="left" vertical="center" wrapText="1"/>
    </xf>
    <xf numFmtId="49" fontId="4" fillId="0" borderId="6" xfId="0" applyNumberFormat="1" applyFont="1" applyBorder="1" applyAlignment="1"/>
    <xf numFmtId="0" fontId="4" fillId="0" borderId="7" xfId="0" applyFont="1" applyBorder="1" applyAlignment="1"/>
    <xf numFmtId="0" fontId="4" fillId="0" borderId="8" xfId="0" applyFont="1" applyBorder="1" applyAlignment="1"/>
    <xf numFmtId="49" fontId="4" fillId="0" borderId="8" xfId="0" applyNumberFormat="1" applyFont="1" applyBorder="1" applyAlignment="1">
      <alignment horizontal="left"/>
    </xf>
    <xf numFmtId="0" fontId="4" fillId="0" borderId="8" xfId="0" applyFont="1" applyBorder="1" applyAlignment="1">
      <alignment wrapText="1"/>
    </xf>
    <xf numFmtId="49" fontId="4" fillId="0" borderId="8" xfId="0" applyNumberFormat="1" applyFont="1" applyBorder="1" applyAlignment="1"/>
    <xf numFmtId="0" fontId="3" fillId="0" borderId="8" xfId="1" applyBorder="1" applyAlignment="1">
      <alignment horizontal="left"/>
    </xf>
    <xf numFmtId="0" fontId="13" fillId="0" borderId="8" xfId="1" applyFont="1" applyBorder="1" applyAlignment="1">
      <alignment horizontal="left"/>
    </xf>
    <xf numFmtId="17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>
      <alignment vertical="center"/>
    </xf>
    <xf numFmtId="0" fontId="3" fillId="0" borderId="0" xfId="1">
      <alignment vertical="center"/>
    </xf>
    <xf numFmtId="0" fontId="7" fillId="0" borderId="8" xfId="1" applyFont="1" applyBorder="1" applyAlignment="1">
      <alignment horizontal="left"/>
    </xf>
    <xf numFmtId="0" fontId="0" fillId="2" borderId="0" xfId="0" applyFill="1">
      <alignment vertical="center"/>
    </xf>
    <xf numFmtId="49" fontId="4" fillId="0" borderId="6" xfId="0" applyNumberFormat="1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8" xfId="0" applyFont="1" applyFill="1" applyBorder="1" applyAlignment="1">
      <alignment wrapText="1"/>
    </xf>
    <xf numFmtId="49" fontId="4" fillId="0" borderId="8" xfId="0" applyNumberFormat="1" applyFont="1" applyFill="1" applyBorder="1" applyAlignment="1"/>
    <xf numFmtId="0" fontId="3" fillId="0" borderId="8" xfId="1" applyFill="1" applyBorder="1" applyAlignment="1" applyProtection="1">
      <alignment horizontal="left"/>
    </xf>
    <xf numFmtId="0" fontId="4" fillId="3" borderId="9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49" fontId="4" fillId="0" borderId="8" xfId="0" applyNumberFormat="1" applyFont="1" applyFill="1" applyBorder="1" applyAlignment="1">
      <alignment horizontal="left"/>
    </xf>
    <xf numFmtId="49" fontId="4" fillId="3" borderId="9" xfId="0" applyNumberFormat="1" applyFont="1" applyFill="1" applyBorder="1" applyAlignment="1">
      <alignment horizontal="left"/>
    </xf>
    <xf numFmtId="49" fontId="4" fillId="0" borderId="9" xfId="0" applyNumberFormat="1" applyFont="1" applyBorder="1" applyAlignment="1">
      <alignment horizontal="left"/>
    </xf>
    <xf numFmtId="177" fontId="4" fillId="0" borderId="8" xfId="0" applyNumberFormat="1" applyFont="1" applyFill="1" applyBorder="1" applyAlignment="1">
      <alignment horizontal="left"/>
    </xf>
    <xf numFmtId="0" fontId="4" fillId="2" borderId="8" xfId="0" applyFont="1" applyFill="1" applyBorder="1" applyAlignment="1">
      <alignment wrapText="1"/>
    </xf>
    <xf numFmtId="0" fontId="3" fillId="0" borderId="1" xfId="1" quotePrefix="1" applyBorder="1" applyAlignment="1">
      <alignment horizontal="left" vertical="center" wrapText="1"/>
    </xf>
    <xf numFmtId="49" fontId="16" fillId="4" borderId="1" xfId="0" applyNumberFormat="1" applyFont="1" applyFill="1" applyBorder="1" applyAlignment="1">
      <alignment horizontal="left" wrapText="1"/>
    </xf>
    <xf numFmtId="49" fontId="4" fillId="3" borderId="1" xfId="0" applyNumberFormat="1" applyFont="1" applyFill="1" applyBorder="1" applyAlignment="1">
      <alignment horizontal="left"/>
    </xf>
    <xf numFmtId="177" fontId="4" fillId="0" borderId="9" xfId="0" applyNumberFormat="1" applyFont="1" applyBorder="1" applyAlignment="1">
      <alignment horizontal="left"/>
    </xf>
    <xf numFmtId="177" fontId="4" fillId="3" borderId="9" xfId="0" applyNumberFormat="1" applyFont="1" applyFill="1" applyBorder="1" applyAlignment="1">
      <alignment horizontal="left"/>
    </xf>
    <xf numFmtId="49" fontId="4" fillId="0" borderId="5" xfId="0" applyNumberFormat="1" applyFont="1" applyFill="1" applyBorder="1" applyAlignment="1"/>
    <xf numFmtId="0" fontId="4" fillId="0" borderId="4" xfId="0" applyFont="1" applyFill="1" applyBorder="1" applyAlignment="1"/>
    <xf numFmtId="0" fontId="4" fillId="0" borderId="1" xfId="0" applyFont="1" applyFill="1" applyBorder="1" applyAlignment="1"/>
    <xf numFmtId="177" fontId="4" fillId="0" borderId="1" xfId="0" applyNumberFormat="1" applyFont="1" applyFill="1" applyBorder="1" applyAlignment="1">
      <alignment horizontal="left"/>
    </xf>
    <xf numFmtId="0" fontId="4" fillId="0" borderId="1" xfId="0" applyFont="1" applyFill="1" applyBorder="1" applyAlignment="1">
      <alignment wrapText="1"/>
    </xf>
    <xf numFmtId="49" fontId="4" fillId="0" borderId="1" xfId="0" applyNumberFormat="1" applyFont="1" applyFill="1" applyBorder="1" applyAlignment="1"/>
    <xf numFmtId="0" fontId="7" fillId="0" borderId="1" xfId="1" applyFont="1" applyFill="1" applyBorder="1" applyAlignment="1" applyProtection="1">
      <alignment horizontal="left"/>
    </xf>
    <xf numFmtId="0" fontId="7" fillId="0" borderId="8" xfId="1" applyFont="1" applyFill="1" applyBorder="1" applyAlignment="1" applyProtection="1">
      <alignment horizontal="left"/>
    </xf>
    <xf numFmtId="49" fontId="4" fillId="5" borderId="1" xfId="0" applyNumberFormat="1" applyFont="1" applyFill="1" applyBorder="1" applyAlignment="1">
      <alignment horizontal="left"/>
    </xf>
    <xf numFmtId="0" fontId="0" fillId="0" borderId="0" xfId="0" applyNumberFormat="1">
      <alignment vertical="center"/>
    </xf>
    <xf numFmtId="49" fontId="4" fillId="3" borderId="0" xfId="0" applyNumberFormat="1" applyFont="1" applyFill="1" applyBorder="1" applyAlignment="1">
      <alignment horizontal="left"/>
    </xf>
    <xf numFmtId="49" fontId="4" fillId="0" borderId="0" xfId="0" applyNumberFormat="1" applyFont="1" applyBorder="1" applyAlignment="1">
      <alignment horizontal="left"/>
    </xf>
    <xf numFmtId="0" fontId="3" fillId="2" borderId="0" xfId="1" applyFill="1">
      <alignment vertical="center"/>
    </xf>
    <xf numFmtId="0" fontId="17" fillId="0" borderId="10" xfId="0" applyFont="1" applyBorder="1">
      <alignment vertical="center"/>
    </xf>
  </cellXfs>
  <cellStyles count="2">
    <cellStyle name="常规" xfId="0" builtinId="0"/>
    <cellStyle name="超链接" xfId="1" builtinId="8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numFmt numFmtId="177" formatCode="0_ 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fill>
        <patternFill patternType="none">
          <fgColor indexed="64"/>
          <bgColor indexed="65"/>
        </patternFill>
      </fill>
      <border diagonalUp="0" diagonalDown="0">
        <left style="dotted">
          <color auto="1"/>
        </left>
        <right/>
        <top style="dotted">
          <color auto="1"/>
        </top>
        <bottom style="dott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family val="3"/>
        <charset val="134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开始执行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1152;&#30431;&#36134;&#21333;/2019&#36134;&#21333;/2019&#24180;05&#26376;/&#22238;&#27454;/SAP&#20195;&#3072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"/>
      <sheetName val="平台"/>
    </sheetNames>
    <sheetDataSet>
      <sheetData sheetId="0">
        <row r="2">
          <cell r="B2" t="str">
            <v>29008</v>
          </cell>
        </row>
        <row r="3">
          <cell r="B3" t="str">
            <v>29009</v>
          </cell>
        </row>
        <row r="4">
          <cell r="B4" t="str">
            <v>29011</v>
          </cell>
        </row>
        <row r="5">
          <cell r="B5" t="str">
            <v>29013</v>
          </cell>
        </row>
        <row r="6">
          <cell r="B6" t="str">
            <v>29014</v>
          </cell>
        </row>
        <row r="7">
          <cell r="B7" t="str">
            <v>29015</v>
          </cell>
        </row>
        <row r="8">
          <cell r="B8" t="str">
            <v>29016</v>
          </cell>
        </row>
        <row r="9">
          <cell r="B9" t="str">
            <v>29017</v>
          </cell>
        </row>
        <row r="10">
          <cell r="B10" t="str">
            <v>29018</v>
          </cell>
        </row>
        <row r="11">
          <cell r="B11" t="str">
            <v>29019</v>
          </cell>
        </row>
        <row r="12">
          <cell r="B12" t="str">
            <v>29020</v>
          </cell>
        </row>
        <row r="13">
          <cell r="B13" t="str">
            <v>29021</v>
          </cell>
        </row>
        <row r="14">
          <cell r="B14" t="str">
            <v>29023</v>
          </cell>
        </row>
        <row r="15">
          <cell r="B15" t="str">
            <v>29024</v>
          </cell>
        </row>
        <row r="16">
          <cell r="B16" t="str">
            <v>29025</v>
          </cell>
        </row>
        <row r="17">
          <cell r="B17" t="str">
            <v>29031</v>
          </cell>
        </row>
        <row r="18">
          <cell r="B18" t="str">
            <v>29036</v>
          </cell>
        </row>
        <row r="19">
          <cell r="B19" t="str">
            <v>29038</v>
          </cell>
        </row>
        <row r="20">
          <cell r="B20" t="str">
            <v>29039</v>
          </cell>
        </row>
        <row r="21">
          <cell r="B21" t="str">
            <v>29040</v>
          </cell>
        </row>
        <row r="22">
          <cell r="B22" t="str">
            <v>29042</v>
          </cell>
        </row>
        <row r="23">
          <cell r="B23" t="str">
            <v>29044</v>
          </cell>
        </row>
        <row r="24">
          <cell r="B24" t="str">
            <v>29045</v>
          </cell>
        </row>
        <row r="25">
          <cell r="B25" t="str">
            <v>29046</v>
          </cell>
        </row>
        <row r="26">
          <cell r="B26" t="str">
            <v>29047</v>
          </cell>
        </row>
        <row r="27">
          <cell r="B27" t="str">
            <v>29049</v>
          </cell>
        </row>
        <row r="28">
          <cell r="B28" t="str">
            <v>29050</v>
          </cell>
        </row>
        <row r="29">
          <cell r="B29" t="str">
            <v>29053</v>
          </cell>
        </row>
        <row r="30">
          <cell r="B30" t="str">
            <v>29054</v>
          </cell>
        </row>
        <row r="31">
          <cell r="B31" t="str">
            <v>29055</v>
          </cell>
        </row>
        <row r="32">
          <cell r="B32" t="str">
            <v>29056</v>
          </cell>
        </row>
        <row r="33">
          <cell r="B33" t="str">
            <v>29057</v>
          </cell>
        </row>
        <row r="34">
          <cell r="B34" t="str">
            <v>29058</v>
          </cell>
        </row>
        <row r="35">
          <cell r="B35" t="str">
            <v>29059</v>
          </cell>
        </row>
        <row r="36">
          <cell r="B36" t="str">
            <v>29069</v>
          </cell>
        </row>
        <row r="37">
          <cell r="B37" t="str">
            <v>29072</v>
          </cell>
        </row>
        <row r="38">
          <cell r="B38" t="str">
            <v>29073</v>
          </cell>
        </row>
        <row r="39">
          <cell r="B39" t="str">
            <v>29074</v>
          </cell>
        </row>
        <row r="40">
          <cell r="B40" t="str">
            <v>29075</v>
          </cell>
        </row>
        <row r="41">
          <cell r="B41" t="str">
            <v>29076</v>
          </cell>
        </row>
        <row r="42">
          <cell r="B42" t="str">
            <v>29084</v>
          </cell>
        </row>
        <row r="43">
          <cell r="B43" t="str">
            <v>29085</v>
          </cell>
        </row>
        <row r="44">
          <cell r="B44" t="str">
            <v>29086</v>
          </cell>
        </row>
        <row r="45">
          <cell r="B45" t="str">
            <v>29087</v>
          </cell>
        </row>
        <row r="46">
          <cell r="B46" t="str">
            <v>29088</v>
          </cell>
        </row>
        <row r="47">
          <cell r="B47" t="str">
            <v>29089</v>
          </cell>
        </row>
        <row r="48">
          <cell r="B48" t="str">
            <v>29090</v>
          </cell>
        </row>
        <row r="49">
          <cell r="B49" t="str">
            <v>29091</v>
          </cell>
        </row>
        <row r="50">
          <cell r="B50" t="str">
            <v>29092</v>
          </cell>
        </row>
        <row r="51">
          <cell r="B51" t="str">
            <v>29095</v>
          </cell>
        </row>
        <row r="52">
          <cell r="B52" t="str">
            <v>29097</v>
          </cell>
        </row>
        <row r="53">
          <cell r="B53" t="str">
            <v>29098</v>
          </cell>
        </row>
        <row r="54">
          <cell r="B54" t="str">
            <v>29100</v>
          </cell>
        </row>
        <row r="55">
          <cell r="B55" t="str">
            <v>29104</v>
          </cell>
        </row>
        <row r="56">
          <cell r="B56" t="str">
            <v>29105</v>
          </cell>
        </row>
        <row r="57">
          <cell r="B57" t="str">
            <v>29106</v>
          </cell>
        </row>
        <row r="58">
          <cell r="B58" t="str">
            <v>29107</v>
          </cell>
        </row>
        <row r="59">
          <cell r="B59" t="str">
            <v>29111</v>
          </cell>
        </row>
        <row r="60">
          <cell r="B60" t="str">
            <v>29112</v>
          </cell>
        </row>
        <row r="61">
          <cell r="B61" t="str">
            <v>29113</v>
          </cell>
        </row>
        <row r="62">
          <cell r="B62" t="str">
            <v>29114</v>
          </cell>
        </row>
        <row r="63">
          <cell r="B63" t="str">
            <v>29115</v>
          </cell>
        </row>
        <row r="64">
          <cell r="B64" t="str">
            <v>29116</v>
          </cell>
        </row>
        <row r="65">
          <cell r="B65" t="str">
            <v>29118</v>
          </cell>
        </row>
        <row r="66">
          <cell r="B66" t="str">
            <v>29119</v>
          </cell>
        </row>
        <row r="67">
          <cell r="B67" t="str">
            <v>29121</v>
          </cell>
        </row>
        <row r="68">
          <cell r="B68" t="str">
            <v>29125</v>
          </cell>
        </row>
        <row r="69">
          <cell r="B69" t="str">
            <v>29127</v>
          </cell>
        </row>
        <row r="70">
          <cell r="B70" t="str">
            <v>29128</v>
          </cell>
        </row>
        <row r="71">
          <cell r="B71" t="str">
            <v>29129</v>
          </cell>
        </row>
        <row r="72">
          <cell r="B72" t="str">
            <v>29130</v>
          </cell>
        </row>
        <row r="73">
          <cell r="B73" t="str">
            <v>29132</v>
          </cell>
        </row>
        <row r="74">
          <cell r="B74" t="str">
            <v>29133</v>
          </cell>
        </row>
        <row r="75">
          <cell r="B75" t="str">
            <v>29137</v>
          </cell>
        </row>
        <row r="76">
          <cell r="B76" t="str">
            <v>29138</v>
          </cell>
        </row>
        <row r="77">
          <cell r="B77" t="str">
            <v>29139</v>
          </cell>
        </row>
        <row r="78">
          <cell r="B78" t="str">
            <v>29140</v>
          </cell>
        </row>
        <row r="79">
          <cell r="B79" t="str">
            <v>29145</v>
          </cell>
        </row>
        <row r="80">
          <cell r="B80" t="str">
            <v>29146</v>
          </cell>
        </row>
        <row r="81">
          <cell r="B81" t="str">
            <v>29147</v>
          </cell>
        </row>
        <row r="82">
          <cell r="B82" t="str">
            <v>29148</v>
          </cell>
        </row>
        <row r="83">
          <cell r="B83" t="str">
            <v>29149</v>
          </cell>
        </row>
        <row r="84">
          <cell r="B84" t="str">
            <v>29150</v>
          </cell>
        </row>
        <row r="85">
          <cell r="B85" t="str">
            <v>29151</v>
          </cell>
        </row>
        <row r="86">
          <cell r="B86" t="str">
            <v>29153</v>
          </cell>
        </row>
        <row r="87">
          <cell r="B87" t="str">
            <v>29155</v>
          </cell>
        </row>
        <row r="88">
          <cell r="B88" t="str">
            <v>29156</v>
          </cell>
        </row>
        <row r="89">
          <cell r="B89" t="str">
            <v>29157</v>
          </cell>
        </row>
        <row r="90">
          <cell r="B90" t="str">
            <v>29159</v>
          </cell>
        </row>
        <row r="91">
          <cell r="B91" t="str">
            <v>29160</v>
          </cell>
        </row>
        <row r="92">
          <cell r="B92" t="str">
            <v>29161</v>
          </cell>
        </row>
        <row r="93">
          <cell r="B93" t="str">
            <v>29162</v>
          </cell>
        </row>
        <row r="94">
          <cell r="B94" t="str">
            <v>29164</v>
          </cell>
        </row>
        <row r="95">
          <cell r="B95" t="str">
            <v>29165</v>
          </cell>
        </row>
        <row r="96">
          <cell r="B96" t="str">
            <v>29166</v>
          </cell>
        </row>
        <row r="97">
          <cell r="B97" t="str">
            <v>29168</v>
          </cell>
        </row>
        <row r="98">
          <cell r="B98" t="str">
            <v>29062</v>
          </cell>
        </row>
        <row r="99">
          <cell r="B99" t="str">
            <v>29064</v>
          </cell>
        </row>
        <row r="100">
          <cell r="B100" t="str">
            <v>29060</v>
          </cell>
        </row>
        <row r="101">
          <cell r="B101" t="str">
            <v>29030</v>
          </cell>
        </row>
        <row r="102">
          <cell r="B102" t="str">
            <v>29002</v>
          </cell>
        </row>
        <row r="103">
          <cell r="B103" t="str">
            <v>29174</v>
          </cell>
        </row>
        <row r="104">
          <cell r="B104" t="str">
            <v>29003</v>
          </cell>
        </row>
        <row r="105">
          <cell r="B105" t="str">
            <v>29176</v>
          </cell>
        </row>
        <row r="106">
          <cell r="B106" t="str">
            <v>29177</v>
          </cell>
        </row>
        <row r="107">
          <cell r="B107" t="str">
            <v>29178</v>
          </cell>
        </row>
        <row r="108">
          <cell r="B108" t="str">
            <v>29179</v>
          </cell>
        </row>
        <row r="109">
          <cell r="B109" t="str">
            <v>29180</v>
          </cell>
        </row>
        <row r="110">
          <cell r="B110" t="str">
            <v>29216</v>
          </cell>
        </row>
        <row r="111">
          <cell r="B111" t="str">
            <v>29181</v>
          </cell>
        </row>
        <row r="112">
          <cell r="B112" t="str">
            <v>29182</v>
          </cell>
        </row>
        <row r="113">
          <cell r="B113" t="str">
            <v>29183</v>
          </cell>
        </row>
        <row r="114">
          <cell r="B114" t="str">
            <v>29184</v>
          </cell>
        </row>
        <row r="115">
          <cell r="B115" t="str">
            <v>29185</v>
          </cell>
        </row>
        <row r="116">
          <cell r="B116" t="str">
            <v>29186</v>
          </cell>
        </row>
        <row r="117">
          <cell r="B117" t="str">
            <v>29187</v>
          </cell>
        </row>
        <row r="118">
          <cell r="B118" t="str">
            <v>29188</v>
          </cell>
        </row>
        <row r="119">
          <cell r="B119" t="str">
            <v>29189</v>
          </cell>
        </row>
        <row r="120">
          <cell r="B120" t="str">
            <v>29190</v>
          </cell>
        </row>
        <row r="121">
          <cell r="B121" t="str">
            <v>29191</v>
          </cell>
        </row>
        <row r="122">
          <cell r="B122" t="str">
            <v>29192</v>
          </cell>
        </row>
        <row r="123">
          <cell r="B123" t="str">
            <v>29193</v>
          </cell>
        </row>
        <row r="124">
          <cell r="B124" t="str">
            <v>29194</v>
          </cell>
        </row>
        <row r="125">
          <cell r="B125" t="str">
            <v>29195</v>
          </cell>
        </row>
        <row r="126">
          <cell r="B126" t="str">
            <v>29196</v>
          </cell>
        </row>
        <row r="127">
          <cell r="B127" t="str">
            <v>29197</v>
          </cell>
        </row>
        <row r="128">
          <cell r="B128" t="str">
            <v>29198</v>
          </cell>
        </row>
        <row r="129">
          <cell r="B129" t="str">
            <v>29199</v>
          </cell>
        </row>
        <row r="130">
          <cell r="B130" t="str">
            <v>29200</v>
          </cell>
        </row>
        <row r="131">
          <cell r="B131" t="str">
            <v>29201</v>
          </cell>
        </row>
        <row r="132">
          <cell r="B132" t="str">
            <v>29202</v>
          </cell>
        </row>
        <row r="133">
          <cell r="B133" t="str">
            <v>29203</v>
          </cell>
        </row>
        <row r="134">
          <cell r="B134" t="str">
            <v>29204</v>
          </cell>
        </row>
        <row r="135">
          <cell r="B135" t="str">
            <v>29205</v>
          </cell>
        </row>
        <row r="136">
          <cell r="B136" t="str">
            <v>29206</v>
          </cell>
        </row>
        <row r="137">
          <cell r="B137" t="str">
            <v>29207</v>
          </cell>
        </row>
        <row r="138">
          <cell r="B138" t="str">
            <v>29208</v>
          </cell>
        </row>
        <row r="139">
          <cell r="B139" t="str">
            <v>29209</v>
          </cell>
        </row>
        <row r="140">
          <cell r="B140" t="str">
            <v>29211</v>
          </cell>
        </row>
        <row r="141">
          <cell r="B141" t="str">
            <v>29212</v>
          </cell>
        </row>
        <row r="142">
          <cell r="B142" t="str">
            <v>29213</v>
          </cell>
        </row>
        <row r="143">
          <cell r="B143" t="str">
            <v>29214</v>
          </cell>
        </row>
        <row r="144">
          <cell r="B144" t="str">
            <v>29215</v>
          </cell>
        </row>
        <row r="145">
          <cell r="B145" t="str">
            <v>29217</v>
          </cell>
        </row>
        <row r="146">
          <cell r="B146" t="str">
            <v>29218</v>
          </cell>
        </row>
        <row r="147">
          <cell r="B147" t="str">
            <v>29219</v>
          </cell>
        </row>
        <row r="148">
          <cell r="B148" t="str">
            <v>29220</v>
          </cell>
        </row>
        <row r="149">
          <cell r="B149" t="str">
            <v>29221</v>
          </cell>
        </row>
        <row r="150">
          <cell r="B150" t="str">
            <v>29222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B1A782-0A94-451F-A367-AB78A68A0812}" name="PATH24" displayName="PATH24" ref="I1:I3" totalsRowCount="1">
  <autoFilter ref="I1:I2" xr:uid="{2CD77528-8DF6-4380-A123-95BBD71BA4FA}"/>
  <tableColumns count="1">
    <tableColumn id="1" xr3:uid="{0C9F990A-848B-4AFC-A8D6-4FA6004D2196}" name="PATH" totalsRowFunction="custom">
      <calculatedColumnFormula>LEFT(CELL("filename"),FIND("[",CELL("filename"))-1)</calculatedColumnFormula>
      <totalsRowFormula>VLOOKUP(B:B,Mail!D:H,5,0)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0AF32E-4620-45DF-B24A-7AC2D8615CDD}" name="PATH2" displayName="PATH2" ref="F1:F3" totalsRowCount="1">
  <autoFilter ref="F1:F2" xr:uid="{2CD77528-8DF6-4380-A123-95BBD71BA4FA}"/>
  <tableColumns count="1">
    <tableColumn id="1" xr3:uid="{84B0780E-2DA2-4D87-A83A-D1F8B8F1C1C0}" name="PATH" totalsRowFunction="custom">
      <calculatedColumnFormula>LEFT(CELL("filename"),FIND("[",CELL("filename"))-1)</calculatedColumnFormula>
      <totalsRowFormula>VLOOKUP(A:A,邮箱!A2:H153,8,0)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806174-D532-4169-A4DA-65C6F896962D}" name="邮箱" displayName="邮箱" ref="A1:I180" totalsRowShown="0" headerRowDxfId="10" dataDxfId="9">
  <autoFilter ref="A1:I180" xr:uid="{AC37D800-175B-4022-9B81-340A14C589FE}"/>
  <tableColumns count="9">
    <tableColumn id="1" xr3:uid="{9BFD9614-AA44-4004-BB54-631015E69C2F}" name="序号" dataDxfId="8"/>
    <tableColumn id="2" xr3:uid="{D567A51E-F9D3-406D-B299-35A78D26F9A4}" name="省份" dataDxfId="7"/>
    <tableColumn id="3" xr3:uid="{4557E23B-E31B-488C-912C-CC6E09E91CC3}" name="地市" dataDxfId="6"/>
    <tableColumn id="4" xr3:uid="{3739B7AC-669E-43A0-91DD-589BD552E5DC}" name="客户编号" dataDxfId="5"/>
    <tableColumn id="5" xr3:uid="{BCD9BF99-9917-49CA-B6D9-12A658EDDCB5}" name="加盟店系统名称" dataDxfId="4"/>
    <tableColumn id="6" xr3:uid="{349E840B-C200-44ED-B07A-3B75F935104C}" name="客户名称" dataDxfId="3"/>
    <tableColumn id="7" xr3:uid="{6459251B-5856-41C4-A170-97689BC01FFD}" name="联系电话" dataDxfId="2"/>
    <tableColumn id="8" xr3:uid="{5ACE5D88-D4C5-4DD1-A442-DB547A3642A3}" name="邮箱" dataDxfId="1" dataCellStyle="超链接"/>
    <tableColumn id="9" xr3:uid="{63297DA0-644D-4026-9971-F49E4ADA8B71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438013350@qq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86492578@qq.com" TargetMode="External"/><Relationship Id="rId1" Type="http://schemas.openxmlformats.org/officeDocument/2006/relationships/hyperlink" Target="mailto:1851792712@qq.com" TargetMode="External"/><Relationship Id="rId6" Type="http://schemas.openxmlformats.org/officeDocument/2006/relationships/hyperlink" Target="mailto:153655663@qq.com" TargetMode="External"/><Relationship Id="rId5" Type="http://schemas.openxmlformats.org/officeDocument/2006/relationships/hyperlink" Target="mailto:1259070487@qq.com" TargetMode="External"/><Relationship Id="rId4" Type="http://schemas.openxmlformats.org/officeDocument/2006/relationships/hyperlink" Target="mailto:254368731@qq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1825528626@qq.com" TargetMode="External"/><Relationship Id="rId21" Type="http://schemas.openxmlformats.org/officeDocument/2006/relationships/hyperlink" Target="mailto:46281916@qq.com" TargetMode="External"/><Relationship Id="rId42" Type="http://schemas.openxmlformats.org/officeDocument/2006/relationships/hyperlink" Target="mailto:78185462@qq.com" TargetMode="External"/><Relationship Id="rId63" Type="http://schemas.openxmlformats.org/officeDocument/2006/relationships/hyperlink" Target="mailto:569227939@qq.com" TargetMode="External"/><Relationship Id="rId84" Type="http://schemas.openxmlformats.org/officeDocument/2006/relationships/hyperlink" Target="mailto:56793471@qq.com" TargetMode="External"/><Relationship Id="rId138" Type="http://schemas.openxmlformats.org/officeDocument/2006/relationships/hyperlink" Target="mailto:1009271267@qq.com" TargetMode="External"/><Relationship Id="rId159" Type="http://schemas.openxmlformats.org/officeDocument/2006/relationships/hyperlink" Target="mailto:1229797850@qq.com" TargetMode="External"/><Relationship Id="rId107" Type="http://schemas.openxmlformats.org/officeDocument/2006/relationships/hyperlink" Target="mailto:1965672295@qq.com" TargetMode="External"/><Relationship Id="rId11" Type="http://schemas.openxmlformats.org/officeDocument/2006/relationships/hyperlink" Target="mailto:554542360@qq.com" TargetMode="External"/><Relationship Id="rId32" Type="http://schemas.openxmlformats.org/officeDocument/2006/relationships/hyperlink" Target="mailto:1172718910@qq.com" TargetMode="External"/><Relationship Id="rId53" Type="http://schemas.openxmlformats.org/officeDocument/2006/relationships/hyperlink" Target="mailto:373787742@qq.com" TargetMode="External"/><Relationship Id="rId74" Type="http://schemas.openxmlformats.org/officeDocument/2006/relationships/hyperlink" Target="mailto:250571682@qq.com" TargetMode="External"/><Relationship Id="rId128" Type="http://schemas.openxmlformats.org/officeDocument/2006/relationships/hyperlink" Target="mailto:50211562@qq.com" TargetMode="External"/><Relationship Id="rId149" Type="http://schemas.openxmlformats.org/officeDocument/2006/relationships/hyperlink" Target="mailto:369436447@qq.com" TargetMode="External"/><Relationship Id="rId5" Type="http://schemas.openxmlformats.org/officeDocument/2006/relationships/hyperlink" Target="mailto:1534269116@qq.com" TargetMode="External"/><Relationship Id="rId95" Type="http://schemas.openxmlformats.org/officeDocument/2006/relationships/hyperlink" Target="mailto:34326164@qq.com" TargetMode="External"/><Relationship Id="rId160" Type="http://schemas.openxmlformats.org/officeDocument/2006/relationships/hyperlink" Target="mailto:794674985@qq.com" TargetMode="External"/><Relationship Id="rId22" Type="http://schemas.openxmlformats.org/officeDocument/2006/relationships/hyperlink" Target="mailto:404679755@qq.com" TargetMode="External"/><Relationship Id="rId43" Type="http://schemas.openxmlformats.org/officeDocument/2006/relationships/hyperlink" Target="mailto:764876545@qq.com" TargetMode="External"/><Relationship Id="rId64" Type="http://schemas.openxmlformats.org/officeDocument/2006/relationships/hyperlink" Target="mailto:313938656@qq.com" TargetMode="External"/><Relationship Id="rId118" Type="http://schemas.openxmlformats.org/officeDocument/2006/relationships/hyperlink" Target="mailto:191255150@qq.com" TargetMode="External"/><Relationship Id="rId139" Type="http://schemas.openxmlformats.org/officeDocument/2006/relationships/hyperlink" Target="mailto:834880329@qq.com" TargetMode="External"/><Relationship Id="rId85" Type="http://schemas.openxmlformats.org/officeDocument/2006/relationships/hyperlink" Target="mailto:50211562@qq.com" TargetMode="External"/><Relationship Id="rId150" Type="http://schemas.openxmlformats.org/officeDocument/2006/relationships/hyperlink" Target="mailto:qsh@bsdglasses.com" TargetMode="External"/><Relationship Id="rId12" Type="http://schemas.openxmlformats.org/officeDocument/2006/relationships/hyperlink" Target="mailto:1803938118@qq.com" TargetMode="External"/><Relationship Id="rId17" Type="http://schemas.openxmlformats.org/officeDocument/2006/relationships/hyperlink" Target="mailto:1272589410@qq.com" TargetMode="External"/><Relationship Id="rId33" Type="http://schemas.openxmlformats.org/officeDocument/2006/relationships/hyperlink" Target="mailto:342633014@%20%20%20%2013526669392" TargetMode="External"/><Relationship Id="rId38" Type="http://schemas.openxmlformats.org/officeDocument/2006/relationships/hyperlink" Target="mailto:659348210@qq.com" TargetMode="External"/><Relationship Id="rId59" Type="http://schemas.openxmlformats.org/officeDocument/2006/relationships/hyperlink" Target="mailto:764595041@qq.com" TargetMode="External"/><Relationship Id="rId103" Type="http://schemas.openxmlformats.org/officeDocument/2006/relationships/hyperlink" Target="mailto:531415619@qq.com" TargetMode="External"/><Relationship Id="rId108" Type="http://schemas.openxmlformats.org/officeDocument/2006/relationships/hyperlink" Target="mailto:741996795@qq.com" TargetMode="External"/><Relationship Id="rId124" Type="http://schemas.openxmlformats.org/officeDocument/2006/relationships/hyperlink" Target="mailto:uspaiglasses@126.com" TargetMode="External"/><Relationship Id="rId129" Type="http://schemas.openxmlformats.org/officeDocument/2006/relationships/hyperlink" Target="mailto:295586808@qq.com" TargetMode="External"/><Relationship Id="rId54" Type="http://schemas.openxmlformats.org/officeDocument/2006/relationships/hyperlink" Target="mailto:1124999758@qq.com" TargetMode="External"/><Relationship Id="rId70" Type="http://schemas.openxmlformats.org/officeDocument/2006/relationships/hyperlink" Target="mailto:68093746@qq.com" TargetMode="External"/><Relationship Id="rId75" Type="http://schemas.openxmlformats.org/officeDocument/2006/relationships/hyperlink" Target="mailto:445466962@qq.com" TargetMode="External"/><Relationship Id="rId91" Type="http://schemas.openxmlformats.org/officeDocument/2006/relationships/hyperlink" Target="mailto:1801735103@qq.com" TargetMode="External"/><Relationship Id="rId96" Type="http://schemas.openxmlformats.org/officeDocument/2006/relationships/hyperlink" Target="mailto:438013350@qq.com" TargetMode="External"/><Relationship Id="rId140" Type="http://schemas.openxmlformats.org/officeDocument/2006/relationships/hyperlink" Target="mailto:158827703@qq.com" TargetMode="External"/><Relationship Id="rId145" Type="http://schemas.openxmlformats.org/officeDocument/2006/relationships/hyperlink" Target="mailto:254368731@qq.com" TargetMode="External"/><Relationship Id="rId161" Type="http://schemas.openxmlformats.org/officeDocument/2006/relationships/hyperlink" Target="mailto:277478307@qq.com" TargetMode="External"/><Relationship Id="rId166" Type="http://schemas.openxmlformats.org/officeDocument/2006/relationships/table" Target="../tables/table3.xml"/><Relationship Id="rId1" Type="http://schemas.openxmlformats.org/officeDocument/2006/relationships/hyperlink" Target="mailto:115617493@qq.com" TargetMode="External"/><Relationship Id="rId6" Type="http://schemas.openxmlformats.org/officeDocument/2006/relationships/hyperlink" Target="mailto:1297658087@qq.com" TargetMode="External"/><Relationship Id="rId23" Type="http://schemas.openxmlformats.org/officeDocument/2006/relationships/hyperlink" Target="mailto:492929811@qq.com" TargetMode="External"/><Relationship Id="rId28" Type="http://schemas.openxmlformats.org/officeDocument/2006/relationships/hyperlink" Target="mailto:354339099@qq.com" TargetMode="External"/><Relationship Id="rId49" Type="http://schemas.openxmlformats.org/officeDocument/2006/relationships/hyperlink" Target="mailto:2981894020@qq.com" TargetMode="External"/><Relationship Id="rId114" Type="http://schemas.openxmlformats.org/officeDocument/2006/relationships/hyperlink" Target="mailto:1287064373@qq.com" TargetMode="External"/><Relationship Id="rId119" Type="http://schemas.openxmlformats.org/officeDocument/2006/relationships/hyperlink" Target="mailto:913135472@qq.com" TargetMode="External"/><Relationship Id="rId44" Type="http://schemas.openxmlformats.org/officeDocument/2006/relationships/hyperlink" Target="mailto:764876545@qq.com" TargetMode="External"/><Relationship Id="rId60" Type="http://schemas.openxmlformats.org/officeDocument/2006/relationships/hyperlink" Target="mailto:1685515330@qq.com" TargetMode="External"/><Relationship Id="rId65" Type="http://schemas.openxmlformats.org/officeDocument/2006/relationships/hyperlink" Target="mailto:569227939@qq.com;" TargetMode="External"/><Relationship Id="rId81" Type="http://schemas.openxmlformats.org/officeDocument/2006/relationships/hyperlink" Target="mailto:1242557318@qq.com" TargetMode="External"/><Relationship Id="rId86" Type="http://schemas.openxmlformats.org/officeDocument/2006/relationships/hyperlink" Target="mailto:1209852075@qq.com" TargetMode="External"/><Relationship Id="rId130" Type="http://schemas.openxmlformats.org/officeDocument/2006/relationships/hyperlink" Target="mailto:370654859@qq.com" TargetMode="External"/><Relationship Id="rId135" Type="http://schemas.openxmlformats.org/officeDocument/2006/relationships/hyperlink" Target="mailto:2923438191@qq.com" TargetMode="External"/><Relationship Id="rId151" Type="http://schemas.openxmlformats.org/officeDocument/2006/relationships/hyperlink" Target="mailto:370094791@qq.com" TargetMode="External"/><Relationship Id="rId156" Type="http://schemas.openxmlformats.org/officeDocument/2006/relationships/hyperlink" Target="mailto:853260288@qq.com" TargetMode="External"/><Relationship Id="rId13" Type="http://schemas.openxmlformats.org/officeDocument/2006/relationships/hyperlink" Target="mailto:2812385751@qq.com" TargetMode="External"/><Relationship Id="rId18" Type="http://schemas.openxmlformats.org/officeDocument/2006/relationships/hyperlink" Target="mailto:497021699@qq.com" TargetMode="External"/><Relationship Id="rId39" Type="http://schemas.openxmlformats.org/officeDocument/2006/relationships/hyperlink" Target="mailto:85640290@qq.com" TargetMode="External"/><Relationship Id="rId109" Type="http://schemas.openxmlformats.org/officeDocument/2006/relationships/hyperlink" Target="mailto:xuanxuan20111216@163.com" TargetMode="External"/><Relationship Id="rId34" Type="http://schemas.openxmlformats.org/officeDocument/2006/relationships/hyperlink" Target="mailto:944121463@qq.com" TargetMode="External"/><Relationship Id="rId50" Type="http://schemas.openxmlformats.org/officeDocument/2006/relationships/hyperlink" Target="mailto:65055505@qq.com" TargetMode="External"/><Relationship Id="rId55" Type="http://schemas.openxmlformats.org/officeDocument/2006/relationships/hyperlink" Target="mailto:2876321553@qq.com" TargetMode="External"/><Relationship Id="rId76" Type="http://schemas.openxmlformats.org/officeDocument/2006/relationships/hyperlink" Target="mailto:36199643@qq.com" TargetMode="External"/><Relationship Id="rId97" Type="http://schemas.openxmlformats.org/officeDocument/2006/relationships/hyperlink" Target="mailto:1467566783@qq.com" TargetMode="External"/><Relationship Id="rId104" Type="http://schemas.openxmlformats.org/officeDocument/2006/relationships/hyperlink" Target="mailto:1806913916@qq.com" TargetMode="External"/><Relationship Id="rId120" Type="http://schemas.openxmlformats.org/officeDocument/2006/relationships/hyperlink" Target="mailto:747780921@qq.com" TargetMode="External"/><Relationship Id="rId125" Type="http://schemas.openxmlformats.org/officeDocument/2006/relationships/hyperlink" Target="mailto:262982996@qq.com" TargetMode="External"/><Relationship Id="rId141" Type="http://schemas.openxmlformats.org/officeDocument/2006/relationships/hyperlink" Target="mailto:1534269116@qq.com" TargetMode="External"/><Relationship Id="rId146" Type="http://schemas.openxmlformats.org/officeDocument/2006/relationships/hyperlink" Target="mailto:1065966469@qq.com" TargetMode="External"/><Relationship Id="rId167" Type="http://schemas.openxmlformats.org/officeDocument/2006/relationships/comments" Target="../comments1.xml"/><Relationship Id="rId7" Type="http://schemas.openxmlformats.org/officeDocument/2006/relationships/hyperlink" Target="mailto:2995096216@qq.com" TargetMode="External"/><Relationship Id="rId71" Type="http://schemas.openxmlformats.org/officeDocument/2006/relationships/hyperlink" Target="mailto:489616468@qq.com" TargetMode="External"/><Relationship Id="rId92" Type="http://schemas.openxmlformats.org/officeDocument/2006/relationships/hyperlink" Target="mailto:342633014@qq.com" TargetMode="External"/><Relationship Id="rId162" Type="http://schemas.openxmlformats.org/officeDocument/2006/relationships/hyperlink" Target="mailto:1825528626@qq.com" TargetMode="External"/><Relationship Id="rId2" Type="http://schemas.openxmlformats.org/officeDocument/2006/relationships/hyperlink" Target="mailto:80970126@qq.com" TargetMode="External"/><Relationship Id="rId29" Type="http://schemas.openxmlformats.org/officeDocument/2006/relationships/hyperlink" Target="mailto:153655663@qq.com" TargetMode="External"/><Relationship Id="rId24" Type="http://schemas.openxmlformats.org/officeDocument/2006/relationships/hyperlink" Target="mailto:56793471@qq.com" TargetMode="External"/><Relationship Id="rId40" Type="http://schemas.openxmlformats.org/officeDocument/2006/relationships/hyperlink" Target="mailto:837427116@qq.com" TargetMode="External"/><Relationship Id="rId45" Type="http://schemas.openxmlformats.org/officeDocument/2006/relationships/hyperlink" Target="mailto:764876545@qq.com" TargetMode="External"/><Relationship Id="rId66" Type="http://schemas.openxmlformats.org/officeDocument/2006/relationships/hyperlink" Target="mailto:981077565@qq.com" TargetMode="External"/><Relationship Id="rId87" Type="http://schemas.openxmlformats.org/officeDocument/2006/relationships/hyperlink" Target="mailto:280016738@qq.com" TargetMode="External"/><Relationship Id="rId110" Type="http://schemas.openxmlformats.org/officeDocument/2006/relationships/hyperlink" Target="mailto:86474533@qq.com" TargetMode="External"/><Relationship Id="rId115" Type="http://schemas.openxmlformats.org/officeDocument/2006/relationships/hyperlink" Target="mailto:870802495@qq.com" TargetMode="External"/><Relationship Id="rId131" Type="http://schemas.openxmlformats.org/officeDocument/2006/relationships/hyperlink" Target="mailto:438837146@qq.com" TargetMode="External"/><Relationship Id="rId136" Type="http://schemas.openxmlformats.org/officeDocument/2006/relationships/hyperlink" Target="mailto:597556550@qq.com" TargetMode="External"/><Relationship Id="rId157" Type="http://schemas.openxmlformats.org/officeDocument/2006/relationships/hyperlink" Target="mailto:3269193779@qq.com" TargetMode="External"/><Relationship Id="rId61" Type="http://schemas.openxmlformats.org/officeDocument/2006/relationships/hyperlink" Target="mailto:361321658@qq.com" TargetMode="External"/><Relationship Id="rId82" Type="http://schemas.openxmlformats.org/officeDocument/2006/relationships/hyperlink" Target="mailto:514590929@qq.com" TargetMode="External"/><Relationship Id="rId152" Type="http://schemas.openxmlformats.org/officeDocument/2006/relationships/hyperlink" Target="mailto:1248108496@qq.com" TargetMode="External"/><Relationship Id="rId19" Type="http://schemas.openxmlformats.org/officeDocument/2006/relationships/hyperlink" Target="mailto:395730747@qq.com" TargetMode="External"/><Relationship Id="rId14" Type="http://schemas.openxmlformats.org/officeDocument/2006/relationships/hyperlink" Target="mailto:1801735103@qq.com" TargetMode="External"/><Relationship Id="rId30" Type="http://schemas.openxmlformats.org/officeDocument/2006/relationships/hyperlink" Target="mailto:13803751035@139.com" TargetMode="External"/><Relationship Id="rId35" Type="http://schemas.openxmlformats.org/officeDocument/2006/relationships/hyperlink" Target="mailto:471666050@qq.com" TargetMode="External"/><Relationship Id="rId56" Type="http://schemas.openxmlformats.org/officeDocument/2006/relationships/hyperlink" Target="mailto:1124675343@qq.com" TargetMode="External"/><Relationship Id="rId77" Type="http://schemas.openxmlformats.org/officeDocument/2006/relationships/hyperlink" Target="mailto:874769045@qq.com" TargetMode="External"/><Relationship Id="rId100" Type="http://schemas.openxmlformats.org/officeDocument/2006/relationships/hyperlink" Target="mailto:2298202998@qq.com" TargetMode="External"/><Relationship Id="rId105" Type="http://schemas.openxmlformats.org/officeDocument/2006/relationships/hyperlink" Target="mailto:124803166@qq.com" TargetMode="External"/><Relationship Id="rId126" Type="http://schemas.openxmlformats.org/officeDocument/2006/relationships/hyperlink" Target="mailto:496279992@qq.com" TargetMode="External"/><Relationship Id="rId147" Type="http://schemas.openxmlformats.org/officeDocument/2006/relationships/hyperlink" Target="mailto:944121463@qq.com" TargetMode="External"/><Relationship Id="rId8" Type="http://schemas.openxmlformats.org/officeDocument/2006/relationships/hyperlink" Target="mailto:1175401298@qq.com" TargetMode="External"/><Relationship Id="rId51" Type="http://schemas.openxmlformats.org/officeDocument/2006/relationships/hyperlink" Target="mailto:742822279@qq.com" TargetMode="External"/><Relationship Id="rId72" Type="http://schemas.openxmlformats.org/officeDocument/2006/relationships/hyperlink" Target="mailto:495388981@qq.com" TargetMode="External"/><Relationship Id="rId93" Type="http://schemas.openxmlformats.org/officeDocument/2006/relationships/hyperlink" Target="mailto:317328845@qq.com" TargetMode="External"/><Relationship Id="rId98" Type="http://schemas.openxmlformats.org/officeDocument/2006/relationships/hyperlink" Target="mailto:903739321@qq.com" TargetMode="External"/><Relationship Id="rId121" Type="http://schemas.openxmlformats.org/officeDocument/2006/relationships/hyperlink" Target="mailto:1242557318@qq.com" TargetMode="External"/><Relationship Id="rId142" Type="http://schemas.openxmlformats.org/officeDocument/2006/relationships/hyperlink" Target="mailto:lijiafei1022@126.com" TargetMode="External"/><Relationship Id="rId163" Type="http://schemas.openxmlformats.org/officeDocument/2006/relationships/hyperlink" Target="mailto:12399286@qq.com" TargetMode="External"/><Relationship Id="rId3" Type="http://schemas.openxmlformats.org/officeDocument/2006/relationships/hyperlink" Target="mailto:1534269116@qq.com" TargetMode="External"/><Relationship Id="rId25" Type="http://schemas.openxmlformats.org/officeDocument/2006/relationships/hyperlink" Target="mailto:392255371@qq.com" TargetMode="External"/><Relationship Id="rId46" Type="http://schemas.openxmlformats.org/officeDocument/2006/relationships/hyperlink" Target="mailto:2995096216@qq.com" TargetMode="External"/><Relationship Id="rId67" Type="http://schemas.openxmlformats.org/officeDocument/2006/relationships/hyperlink" Target="mailto:qsh@bsdglasses.com" TargetMode="External"/><Relationship Id="rId116" Type="http://schemas.openxmlformats.org/officeDocument/2006/relationships/hyperlink" Target="mailto:1250715603@qq.com" TargetMode="External"/><Relationship Id="rId137" Type="http://schemas.openxmlformats.org/officeDocument/2006/relationships/hyperlink" Target="mailto:409260385@qq.com" TargetMode="External"/><Relationship Id="rId158" Type="http://schemas.openxmlformats.org/officeDocument/2006/relationships/hyperlink" Target="mailto:2135029726@qq.com" TargetMode="External"/><Relationship Id="rId20" Type="http://schemas.openxmlformats.org/officeDocument/2006/relationships/hyperlink" Target="mailto:13598284247@163.com" TargetMode="External"/><Relationship Id="rId41" Type="http://schemas.openxmlformats.org/officeDocument/2006/relationships/hyperlink" Target="mailto:764876545@qq.com" TargetMode="External"/><Relationship Id="rId62" Type="http://schemas.openxmlformats.org/officeDocument/2006/relationships/hyperlink" Target="mailto:dqx@bsdglasses.com" TargetMode="External"/><Relationship Id="rId83" Type="http://schemas.openxmlformats.org/officeDocument/2006/relationships/hyperlink" Target="mailto:28036147@qq.com" TargetMode="External"/><Relationship Id="rId88" Type="http://schemas.openxmlformats.org/officeDocument/2006/relationships/hyperlink" Target="mailto:514342583@qq.com" TargetMode="External"/><Relationship Id="rId111" Type="http://schemas.openxmlformats.org/officeDocument/2006/relationships/hyperlink" Target="mailto:764595041@qq.com" TargetMode="External"/><Relationship Id="rId132" Type="http://schemas.openxmlformats.org/officeDocument/2006/relationships/hyperlink" Target="mailto:2985457255@qq.com" TargetMode="External"/><Relationship Id="rId153" Type="http://schemas.openxmlformats.org/officeDocument/2006/relationships/hyperlink" Target="mailto:764595041@qq.com" TargetMode="External"/><Relationship Id="rId15" Type="http://schemas.openxmlformats.org/officeDocument/2006/relationships/hyperlink" Target="mailto:710107055@qq.com" TargetMode="External"/><Relationship Id="rId36" Type="http://schemas.openxmlformats.org/officeDocument/2006/relationships/hyperlink" Target="mailto:1009271267@qq.com" TargetMode="External"/><Relationship Id="rId57" Type="http://schemas.openxmlformats.org/officeDocument/2006/relationships/hyperlink" Target="mailto:1965672295@qq.com" TargetMode="External"/><Relationship Id="rId106" Type="http://schemas.openxmlformats.org/officeDocument/2006/relationships/hyperlink" Target="mailto:qxl15938880379@126.com" TargetMode="External"/><Relationship Id="rId127" Type="http://schemas.openxmlformats.org/officeDocument/2006/relationships/hyperlink" Target="mailto:451652305@qq.com" TargetMode="External"/><Relationship Id="rId10" Type="http://schemas.openxmlformats.org/officeDocument/2006/relationships/hyperlink" Target="mailto:2410888347@qq.com" TargetMode="External"/><Relationship Id="rId31" Type="http://schemas.openxmlformats.org/officeDocument/2006/relationships/hyperlink" Target="mailto:81163873@qq.com" TargetMode="External"/><Relationship Id="rId52" Type="http://schemas.openxmlformats.org/officeDocument/2006/relationships/hyperlink" Target="mailto:249368505@qq.com" TargetMode="External"/><Relationship Id="rId73" Type="http://schemas.openxmlformats.org/officeDocument/2006/relationships/hyperlink" Target="mailto:342633014@qq.com" TargetMode="External"/><Relationship Id="rId78" Type="http://schemas.openxmlformats.org/officeDocument/2006/relationships/hyperlink" Target="mailto:373787742@qq.com" TargetMode="External"/><Relationship Id="rId94" Type="http://schemas.openxmlformats.org/officeDocument/2006/relationships/hyperlink" Target="mailto:1129442737@qq.com" TargetMode="External"/><Relationship Id="rId99" Type="http://schemas.openxmlformats.org/officeDocument/2006/relationships/hyperlink" Target="mailto:317750464@qq.com" TargetMode="External"/><Relationship Id="rId101" Type="http://schemas.openxmlformats.org/officeDocument/2006/relationships/hyperlink" Target="mailto:1229797850@qq.com" TargetMode="External"/><Relationship Id="rId122" Type="http://schemas.openxmlformats.org/officeDocument/2006/relationships/hyperlink" Target="mailto:794279488@qq.com" TargetMode="External"/><Relationship Id="rId143" Type="http://schemas.openxmlformats.org/officeDocument/2006/relationships/hyperlink" Target="mailto:361321658@qq.com" TargetMode="External"/><Relationship Id="rId148" Type="http://schemas.openxmlformats.org/officeDocument/2006/relationships/hyperlink" Target="mailto:174420451@qq.com" TargetMode="External"/><Relationship Id="rId164" Type="http://schemas.openxmlformats.org/officeDocument/2006/relationships/hyperlink" Target="mailto:2578916856@qq.com" TargetMode="External"/><Relationship Id="rId4" Type="http://schemas.openxmlformats.org/officeDocument/2006/relationships/hyperlink" Target="mailto:1534269116@qq.com" TargetMode="External"/><Relationship Id="rId9" Type="http://schemas.openxmlformats.org/officeDocument/2006/relationships/hyperlink" Target="mailto:316705173@qq.com" TargetMode="External"/><Relationship Id="rId26" Type="http://schemas.openxmlformats.org/officeDocument/2006/relationships/hyperlink" Target="mailto:693791269@qq.com" TargetMode="External"/><Relationship Id="rId47" Type="http://schemas.openxmlformats.org/officeDocument/2006/relationships/hyperlink" Target="mailto:641249379@qq.com" TargetMode="External"/><Relationship Id="rId68" Type="http://schemas.openxmlformats.org/officeDocument/2006/relationships/hyperlink" Target="mailto:282940037@qq.com" TargetMode="External"/><Relationship Id="rId89" Type="http://schemas.openxmlformats.org/officeDocument/2006/relationships/hyperlink" Target="mailto:769983213@qq.com" TargetMode="External"/><Relationship Id="rId112" Type="http://schemas.openxmlformats.org/officeDocument/2006/relationships/hyperlink" Target="mailto:530827867@qq.com" TargetMode="External"/><Relationship Id="rId133" Type="http://schemas.openxmlformats.org/officeDocument/2006/relationships/hyperlink" Target="mailto:1059135366@qq.com" TargetMode="External"/><Relationship Id="rId154" Type="http://schemas.openxmlformats.org/officeDocument/2006/relationships/hyperlink" Target="mailto:2511468765@qq.com" TargetMode="External"/><Relationship Id="rId16" Type="http://schemas.openxmlformats.org/officeDocument/2006/relationships/hyperlink" Target="mailto:27441572@qq.com" TargetMode="External"/><Relationship Id="rId37" Type="http://schemas.openxmlformats.org/officeDocument/2006/relationships/hyperlink" Target="mailto:85640290@qq.com" TargetMode="External"/><Relationship Id="rId58" Type="http://schemas.openxmlformats.org/officeDocument/2006/relationships/hyperlink" Target="mailto:86492578@qq.com" TargetMode="External"/><Relationship Id="rId79" Type="http://schemas.openxmlformats.org/officeDocument/2006/relationships/hyperlink" Target="mailto:287626337@qq.com" TargetMode="External"/><Relationship Id="rId102" Type="http://schemas.openxmlformats.org/officeDocument/2006/relationships/hyperlink" Target="mailto:981077565@qq.com" TargetMode="External"/><Relationship Id="rId123" Type="http://schemas.openxmlformats.org/officeDocument/2006/relationships/hyperlink" Target="mailto:1527912403@qq.com" TargetMode="External"/><Relationship Id="rId144" Type="http://schemas.openxmlformats.org/officeDocument/2006/relationships/hyperlink" Target="mailto:1142179627@qq.com" TargetMode="External"/><Relationship Id="rId90" Type="http://schemas.openxmlformats.org/officeDocument/2006/relationships/hyperlink" Target="mailto:47588205@qq.com" TargetMode="External"/><Relationship Id="rId165" Type="http://schemas.openxmlformats.org/officeDocument/2006/relationships/vmlDrawing" Target="../drawings/vmlDrawing2.vml"/><Relationship Id="rId27" Type="http://schemas.openxmlformats.org/officeDocument/2006/relationships/hyperlink" Target="mailto:2585988705@qq.com" TargetMode="External"/><Relationship Id="rId48" Type="http://schemas.openxmlformats.org/officeDocument/2006/relationships/hyperlink" Target="mailto:2071749773@qq.com" TargetMode="External"/><Relationship Id="rId69" Type="http://schemas.openxmlformats.org/officeDocument/2006/relationships/hyperlink" Target="mailto:rabbit_2426@163.com" TargetMode="External"/><Relationship Id="rId113" Type="http://schemas.openxmlformats.org/officeDocument/2006/relationships/hyperlink" Target="mailto:1424111037@qq.com" TargetMode="External"/><Relationship Id="rId134" Type="http://schemas.openxmlformats.org/officeDocument/2006/relationships/hyperlink" Target="mailto:1534269116@qq.com" TargetMode="External"/><Relationship Id="rId80" Type="http://schemas.openxmlformats.org/officeDocument/2006/relationships/hyperlink" Target="mailto:369576164@qq.com" TargetMode="External"/><Relationship Id="rId155" Type="http://schemas.openxmlformats.org/officeDocument/2006/relationships/hyperlink" Target="mailto:2981894020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E367D-4638-452D-83F4-9E018BF1ED2A}">
  <sheetPr codeName="Sheet7"/>
  <dimension ref="A1:K158"/>
  <sheetViews>
    <sheetView topLeftCell="A100" workbookViewId="0">
      <selection activeCell="F91" sqref="F91"/>
    </sheetView>
  </sheetViews>
  <sheetFormatPr defaultRowHeight="14.25" x14ac:dyDescent="0.2"/>
  <cols>
    <col min="1" max="4" width="9" style="76" customWidth="1"/>
    <col min="5" max="5" width="31.75" customWidth="1"/>
    <col min="6" max="6" width="112" bestFit="1" customWidth="1"/>
    <col min="7" max="7" width="49.625" bestFit="1" customWidth="1"/>
    <col min="8" max="8" width="27.75" bestFit="1" customWidth="1"/>
  </cols>
  <sheetData>
    <row r="1" spans="1:11" x14ac:dyDescent="0.2">
      <c r="A1" s="45" t="s">
        <v>1012</v>
      </c>
      <c r="B1" s="45" t="s">
        <v>999</v>
      </c>
      <c r="C1" s="76" t="s">
        <v>841</v>
      </c>
      <c r="E1" t="s">
        <v>775</v>
      </c>
      <c r="F1" t="s">
        <v>2</v>
      </c>
      <c r="G1" t="s">
        <v>3</v>
      </c>
      <c r="H1" t="s">
        <v>667</v>
      </c>
      <c r="I1" t="s">
        <v>988</v>
      </c>
    </row>
    <row r="2" spans="1:11" x14ac:dyDescent="0.2">
      <c r="A2" s="45" t="s">
        <v>842</v>
      </c>
      <c r="B2" s="45" t="s">
        <v>4</v>
      </c>
      <c r="C2" s="76">
        <v>29001</v>
      </c>
      <c r="D2" s="76" t="e">
        <f>VLOOKUP(A:A,[1]SAP!$B$2:$B$150,1,0)</f>
        <v>#N/A</v>
      </c>
      <c r="E2" t="s">
        <v>169</v>
      </c>
      <c r="F2" t="str">
        <f ca="1">"Copy "&amp;$I$2&amp;"模型v1.0.xlsx "&amp;$I$2&amp;""&amp;A2&amp;".xlsx"</f>
        <v>Copy E:\加盟账单\2019账单\2019年07月\商品\账单\模型v1.0.xlsx E:\加盟账单\2019账单\2019年07月\商品\账单\29001.xlsx</v>
      </c>
      <c r="G2" t="str">
        <f ca="1">$I$2&amp;""&amp;A2&amp;".xlsx"</f>
        <v>E:\加盟账单\2019账单\2019年07月\商品\账单\29001.xlsx</v>
      </c>
      <c r="H2" t="s">
        <v>171</v>
      </c>
      <c r="I2" t="str">
        <f ca="1">LEFT(CELL("filename"),FIND("[",CELL("filename"))-1)</f>
        <v>E:\加盟账单\2019账单\2019年07月\商品\账单\</v>
      </c>
    </row>
    <row r="3" spans="1:11" ht="15" thickBot="1" x14ac:dyDescent="0.25">
      <c r="A3" s="45" t="s">
        <v>843</v>
      </c>
      <c r="B3" s="45" t="s">
        <v>5</v>
      </c>
      <c r="C3" s="76">
        <v>29008</v>
      </c>
      <c r="D3" s="76" t="str">
        <f>VLOOKUP(A:A,[1]SAP!$B$2:$B$150,1,0)</f>
        <v>29008</v>
      </c>
      <c r="E3" t="s">
        <v>174</v>
      </c>
      <c r="F3" t="str">
        <f t="shared" ref="F3:F66" ca="1" si="0">"Copy "&amp;$I$2&amp;"模型v1.0.xlsx "&amp;$I$2&amp;""&amp;A3&amp;".xlsx"</f>
        <v>Copy E:\加盟账单\2019账单\2019年07月\商品\账单\模型v1.0.xlsx E:\加盟账单\2019账单\2019年07月\商品\账单\29008.xlsx</v>
      </c>
      <c r="G3" t="str">
        <f t="shared" ref="G3:G66" ca="1" si="1">$I$2&amp;""&amp;A3&amp;".xlsx"</f>
        <v>E:\加盟账单\2019账单\2019年07月\商品\账单\29008.xlsx</v>
      </c>
      <c r="H3" t="s">
        <v>177</v>
      </c>
      <c r="I3" t="str">
        <f>VLOOKUP(B:B,Mail!D:H,5,0)</f>
        <v>1803938118@qq.com</v>
      </c>
      <c r="K3" t="b">
        <f>H3=PATH24[[#Totals],[PATH]]</f>
        <v>1</v>
      </c>
    </row>
    <row r="4" spans="1:11" ht="15.75" thickTop="1" thickBot="1" x14ac:dyDescent="0.25">
      <c r="A4" s="45" t="s">
        <v>844</v>
      </c>
      <c r="B4" s="45" t="s">
        <v>6</v>
      </c>
      <c r="C4" s="76">
        <v>29009</v>
      </c>
      <c r="D4" s="76" t="str">
        <f>VLOOKUP(A:A,[1]SAP!$B$2:$B$150,1,0)</f>
        <v>29009</v>
      </c>
      <c r="E4" t="s">
        <v>179</v>
      </c>
      <c r="F4" t="str">
        <f t="shared" ca="1" si="0"/>
        <v>Copy E:\加盟账单\2019账单\2019年07月\商品\账单\模型v1.0.xlsx E:\加盟账单\2019账单\2019年07月\商品\账单\29009.xlsx</v>
      </c>
      <c r="G4" t="str">
        <f t="shared" ca="1" si="1"/>
        <v>E:\加盟账单\2019账单\2019年07月\商品\账单\29009.xlsx</v>
      </c>
      <c r="H4" t="s">
        <v>181</v>
      </c>
      <c r="I4" s="80" t="str">
        <f>VLOOKUP(B:B,Mail!D:H,5,0)</f>
        <v>1272589410@qq.com</v>
      </c>
      <c r="K4" t="b">
        <f>H4=I4</f>
        <v>1</v>
      </c>
    </row>
    <row r="5" spans="1:11" ht="15.75" thickTop="1" thickBot="1" x14ac:dyDescent="0.25">
      <c r="A5" s="45" t="s">
        <v>845</v>
      </c>
      <c r="B5" s="45" t="s">
        <v>8</v>
      </c>
      <c r="C5" s="76">
        <v>29011</v>
      </c>
      <c r="D5" s="76" t="str">
        <f>VLOOKUP(A:A,[1]SAP!$B$2:$B$150,1,0)</f>
        <v>29011</v>
      </c>
      <c r="E5" t="s">
        <v>189</v>
      </c>
      <c r="F5" t="str">
        <f t="shared" ca="1" si="0"/>
        <v>Copy E:\加盟账单\2019账单\2019年07月\商品\账单\模型v1.0.xlsx E:\加盟账单\2019账单\2019年07月\商品\账单\29011.xlsx</v>
      </c>
      <c r="G5" t="str">
        <f t="shared" ca="1" si="1"/>
        <v>E:\加盟账单\2019账单\2019年07月\商品\账单\29011.xlsx</v>
      </c>
      <c r="H5" t="s">
        <v>191</v>
      </c>
      <c r="I5" s="80" t="str">
        <f>VLOOKUP(B:B,Mail!D:H,5,0)</f>
        <v>46281916@qq.com</v>
      </c>
      <c r="K5" t="b">
        <f>H5=I5</f>
        <v>1</v>
      </c>
    </row>
    <row r="6" spans="1:11" ht="15.75" thickTop="1" thickBot="1" x14ac:dyDescent="0.25">
      <c r="A6" s="45" t="s">
        <v>846</v>
      </c>
      <c r="B6" s="45" t="s">
        <v>9</v>
      </c>
      <c r="C6" s="76">
        <v>29012</v>
      </c>
      <c r="D6" s="76" t="e">
        <f>VLOOKUP(A:A,[1]SAP!$B$2:$B$150,1,0)</f>
        <v>#N/A</v>
      </c>
      <c r="E6" t="s">
        <v>193</v>
      </c>
      <c r="F6" t="str">
        <f t="shared" ca="1" si="0"/>
        <v>Copy E:\加盟账单\2019账单\2019年07月\商品\账单\模型v1.0.xlsx E:\加盟账单\2019账单\2019年07月\商品\账单\29012.xlsx</v>
      </c>
      <c r="G6" t="str">
        <f t="shared" ca="1" si="1"/>
        <v>E:\加盟账单\2019账单\2019年07月\商品\账单\29012.xlsx</v>
      </c>
      <c r="H6" t="s">
        <v>196</v>
      </c>
      <c r="I6" s="80" t="str">
        <f>VLOOKUP(B:B,Mail!D:H,5,0)</f>
        <v>1825528626@qq.com</v>
      </c>
      <c r="K6" t="b">
        <f t="shared" ref="K6" si="2">H6=I6</f>
        <v>1</v>
      </c>
    </row>
    <row r="7" spans="1:11" ht="15.75" thickTop="1" thickBot="1" x14ac:dyDescent="0.25">
      <c r="A7" s="45" t="s">
        <v>847</v>
      </c>
      <c r="B7" s="45" t="s">
        <v>10</v>
      </c>
      <c r="C7" s="76">
        <v>29013</v>
      </c>
      <c r="D7" s="76" t="str">
        <f>VLOOKUP(A:A,[1]SAP!$B$2:$B$150,1,0)</f>
        <v>29013</v>
      </c>
      <c r="E7" t="s">
        <v>197</v>
      </c>
      <c r="F7" t="str">
        <f t="shared" ca="1" si="0"/>
        <v>Copy E:\加盟账单\2019账单\2019年07月\商品\账单\模型v1.0.xlsx E:\加盟账单\2019账单\2019年07月\商品\账单\29013.xlsx</v>
      </c>
      <c r="G7" t="str">
        <f t="shared" ca="1" si="1"/>
        <v>E:\加盟账单\2019账单\2019年07月\商品\账单\29013.xlsx</v>
      </c>
      <c r="H7" t="s">
        <v>200</v>
      </c>
      <c r="I7" s="80" t="str">
        <f>VLOOKUP(B:B,Mail!D:H,5,0)</f>
        <v>1534269116@qq.com</v>
      </c>
      <c r="K7" t="b">
        <f>H7=I7</f>
        <v>1</v>
      </c>
    </row>
    <row r="8" spans="1:11" ht="15.75" thickTop="1" thickBot="1" x14ac:dyDescent="0.25">
      <c r="A8" s="45" t="s">
        <v>848</v>
      </c>
      <c r="B8" s="45" t="s">
        <v>11</v>
      </c>
      <c r="C8" s="76">
        <v>29014</v>
      </c>
      <c r="D8" s="76" t="str">
        <f>VLOOKUP(A:A,[1]SAP!$B$2:$B$150,1,0)</f>
        <v>29014</v>
      </c>
      <c r="E8" t="s">
        <v>201</v>
      </c>
      <c r="F8" t="str">
        <f t="shared" ca="1" si="0"/>
        <v>Copy E:\加盟账单\2019账单\2019年07月\商品\账单\模型v1.0.xlsx E:\加盟账单\2019账单\2019年07月\商品\账单\29014.xlsx</v>
      </c>
      <c r="G8" t="str">
        <f t="shared" ca="1" si="1"/>
        <v>E:\加盟账单\2019账单\2019年07月\商品\账单\29014.xlsx</v>
      </c>
      <c r="H8" t="s">
        <v>200</v>
      </c>
      <c r="I8" s="80" t="str">
        <f>VLOOKUP(B:B,Mail!D:H,5,0)</f>
        <v>1534269116@qq.com</v>
      </c>
      <c r="K8" t="b">
        <f t="shared" ref="K8" si="3">H8=I8</f>
        <v>1</v>
      </c>
    </row>
    <row r="9" spans="1:11" ht="15.75" thickTop="1" thickBot="1" x14ac:dyDescent="0.25">
      <c r="A9" s="45" t="s">
        <v>849</v>
      </c>
      <c r="B9" s="45" t="s">
        <v>12</v>
      </c>
      <c r="C9" s="76">
        <v>29015</v>
      </c>
      <c r="D9" s="76" t="str">
        <f>VLOOKUP(A:A,[1]SAP!$B$2:$B$150,1,0)</f>
        <v>29015</v>
      </c>
      <c r="E9" t="s">
        <v>204</v>
      </c>
      <c r="F9" t="str">
        <f t="shared" ca="1" si="0"/>
        <v>Copy E:\加盟账单\2019账单\2019年07月\商品\账单\模型v1.0.xlsx E:\加盟账单\2019账单\2019年07月\商品\账单\29015.xlsx</v>
      </c>
      <c r="G9" t="str">
        <f t="shared" ca="1" si="1"/>
        <v>E:\加盟账单\2019账单\2019年07月\商品\账单\29015.xlsx</v>
      </c>
      <c r="H9" t="s">
        <v>207</v>
      </c>
      <c r="I9" s="80" t="str">
        <f>VLOOKUP(B:B,Mail!D:H,5,0)</f>
        <v>1297658087@qq.com</v>
      </c>
      <c r="K9" t="b">
        <f>H9=I9</f>
        <v>1</v>
      </c>
    </row>
    <row r="10" spans="1:11" ht="15.75" thickTop="1" thickBot="1" x14ac:dyDescent="0.25">
      <c r="A10" s="45" t="s">
        <v>850</v>
      </c>
      <c r="B10" s="45" t="s">
        <v>13</v>
      </c>
      <c r="C10" s="76">
        <v>29016</v>
      </c>
      <c r="D10" s="76" t="str">
        <f>VLOOKUP(A:A,[1]SAP!$B$2:$B$150,1,0)</f>
        <v>29016</v>
      </c>
      <c r="E10" t="s">
        <v>208</v>
      </c>
      <c r="F10" t="str">
        <f t="shared" ca="1" si="0"/>
        <v>Copy E:\加盟账单\2019账单\2019年07月\商品\账单\模型v1.0.xlsx E:\加盟账单\2019账单\2019年07月\商品\账单\29016.xlsx</v>
      </c>
      <c r="G10" t="str">
        <f t="shared" ca="1" si="1"/>
        <v>E:\加盟账单\2019账单\2019年07月\商品\账单\29016.xlsx</v>
      </c>
      <c r="H10" t="s">
        <v>211</v>
      </c>
      <c r="I10" s="80" t="str">
        <f>VLOOKUP(B:B,Mail!D:H,5,0)</f>
        <v>307288998@qq.com</v>
      </c>
      <c r="K10" t="b">
        <f t="shared" ref="K10" si="4">H10=I10</f>
        <v>1</v>
      </c>
    </row>
    <row r="11" spans="1:11" ht="15.75" thickTop="1" thickBot="1" x14ac:dyDescent="0.25">
      <c r="A11" s="45" t="s">
        <v>851</v>
      </c>
      <c r="B11" s="45" t="s">
        <v>14</v>
      </c>
      <c r="C11" s="76">
        <v>29017</v>
      </c>
      <c r="D11" s="76" t="str">
        <f>VLOOKUP(A:A,[1]SAP!$B$2:$B$150,1,0)</f>
        <v>29017</v>
      </c>
      <c r="E11" t="s">
        <v>213</v>
      </c>
      <c r="F11" t="str">
        <f t="shared" ca="1" si="0"/>
        <v>Copy E:\加盟账单\2019账单\2019年07月\商品\账单\模型v1.0.xlsx E:\加盟账单\2019账单\2019年07月\商品\账单\29017.xlsx</v>
      </c>
      <c r="G11" t="str">
        <f t="shared" ca="1" si="1"/>
        <v>E:\加盟账单\2019账单\2019年07月\商品\账单\29017.xlsx</v>
      </c>
      <c r="H11" t="s">
        <v>216</v>
      </c>
      <c r="I11" s="80" t="str">
        <f>VLOOKUP(B:B,Mail!D:H,5,0)</f>
        <v>2995096216@qq.com</v>
      </c>
      <c r="K11" t="b">
        <f>H11=I11</f>
        <v>1</v>
      </c>
    </row>
    <row r="12" spans="1:11" ht="15.75" thickTop="1" thickBot="1" x14ac:dyDescent="0.25">
      <c r="A12" s="45" t="s">
        <v>852</v>
      </c>
      <c r="B12" s="45" t="s">
        <v>15</v>
      </c>
      <c r="C12" s="76">
        <v>29018</v>
      </c>
      <c r="D12" s="76" t="str">
        <f>VLOOKUP(A:A,[1]SAP!$B$2:$B$150,1,0)</f>
        <v>29018</v>
      </c>
      <c r="E12" t="s">
        <v>218</v>
      </c>
      <c r="F12" t="str">
        <f t="shared" ca="1" si="0"/>
        <v>Copy E:\加盟账单\2019账单\2019年07月\商品\账单\模型v1.0.xlsx E:\加盟账单\2019账单\2019年07月\商品\账单\29018.xlsx</v>
      </c>
      <c r="G12" t="str">
        <f t="shared" ca="1" si="1"/>
        <v>E:\加盟账单\2019账单\2019年07月\商品\账单\29018.xlsx</v>
      </c>
      <c r="H12" t="s">
        <v>221</v>
      </c>
      <c r="I12" s="80" t="str">
        <f>VLOOKUP(B:B,Mail!D:H,5,0)</f>
        <v>115617493@qq.com</v>
      </c>
      <c r="K12" t="b">
        <f t="shared" ref="K12" si="5">H12=I12</f>
        <v>1</v>
      </c>
    </row>
    <row r="13" spans="1:11" ht="15.75" thickTop="1" thickBot="1" x14ac:dyDescent="0.25">
      <c r="A13" s="45" t="s">
        <v>853</v>
      </c>
      <c r="B13" s="45" t="s">
        <v>16</v>
      </c>
      <c r="C13" s="76">
        <v>29019</v>
      </c>
      <c r="D13" s="76" t="str">
        <f>VLOOKUP(A:A,[1]SAP!$B$2:$B$150,1,0)</f>
        <v>29019</v>
      </c>
      <c r="E13" t="s">
        <v>222</v>
      </c>
      <c r="F13" t="str">
        <f t="shared" ca="1" si="0"/>
        <v>Copy E:\加盟账单\2019账单\2019年07月\商品\账单\模型v1.0.xlsx E:\加盟账单\2019账单\2019年07月\商品\账单\29019.xlsx</v>
      </c>
      <c r="G13" t="str">
        <f t="shared" ca="1" si="1"/>
        <v>E:\加盟账单\2019账单\2019年07月\商品\账单\29019.xlsx</v>
      </c>
      <c r="H13" t="s">
        <v>200</v>
      </c>
      <c r="I13" s="80" t="str">
        <f>VLOOKUP(B:B,Mail!D:H,5,0)</f>
        <v>1534269116@qq.com</v>
      </c>
      <c r="K13" t="b">
        <f>H13=I13</f>
        <v>1</v>
      </c>
    </row>
    <row r="14" spans="1:11" ht="15.75" thickTop="1" thickBot="1" x14ac:dyDescent="0.25">
      <c r="A14" s="45" t="s">
        <v>854</v>
      </c>
      <c r="B14" s="45" t="s">
        <v>17</v>
      </c>
      <c r="C14" s="76">
        <v>29020</v>
      </c>
      <c r="D14" s="76" t="str">
        <f>VLOOKUP(A:A,[1]SAP!$B$2:$B$150,1,0)</f>
        <v>29020</v>
      </c>
      <c r="E14" t="s">
        <v>226</v>
      </c>
      <c r="F14" t="str">
        <f t="shared" ca="1" si="0"/>
        <v>Copy E:\加盟账单\2019账单\2019年07月\商品\账单\模型v1.0.xlsx E:\加盟账单\2019账单\2019年07月\商品\账单\29020.xlsx</v>
      </c>
      <c r="G14" t="str">
        <f t="shared" ca="1" si="1"/>
        <v>E:\加盟账单\2019账单\2019年07月\商品\账单\29020.xlsx</v>
      </c>
      <c r="H14" t="s">
        <v>229</v>
      </c>
      <c r="I14" s="80" t="str">
        <f>VLOOKUP(B:B,Mail!D:H,5,0)</f>
        <v>80970126@qq.com</v>
      </c>
      <c r="K14" t="b">
        <f t="shared" ref="K14" si="6">H14=I14</f>
        <v>1</v>
      </c>
    </row>
    <row r="15" spans="1:11" ht="15.75" thickTop="1" thickBot="1" x14ac:dyDescent="0.25">
      <c r="A15" s="45" t="s">
        <v>855</v>
      </c>
      <c r="B15" s="45" t="s">
        <v>18</v>
      </c>
      <c r="C15" s="76">
        <v>29021</v>
      </c>
      <c r="D15" s="76" t="str">
        <f>VLOOKUP(A:A,[1]SAP!$B$2:$B$150,1,0)</f>
        <v>29021</v>
      </c>
      <c r="E15" t="s">
        <v>230</v>
      </c>
      <c r="F15" t="str">
        <f t="shared" ca="1" si="0"/>
        <v>Copy E:\加盟账单\2019账单\2019年07月\商品\账单\模型v1.0.xlsx E:\加盟账单\2019账单\2019年07月\商品\账单\29021.xlsx</v>
      </c>
      <c r="G15" t="str">
        <f t="shared" ca="1" si="1"/>
        <v>E:\加盟账单\2019账单\2019年07月\商品\账单\29021.xlsx</v>
      </c>
      <c r="H15" t="s">
        <v>233</v>
      </c>
      <c r="I15" s="80" t="str">
        <f>VLOOKUP(B:B,Mail!D:H,5,0)</f>
        <v>qsh@bsdglasses.com</v>
      </c>
      <c r="K15" t="b">
        <f>H15=I15</f>
        <v>1</v>
      </c>
    </row>
    <row r="16" spans="1:11" ht="15.75" thickTop="1" thickBot="1" x14ac:dyDescent="0.25">
      <c r="A16" s="45" t="s">
        <v>856</v>
      </c>
      <c r="B16" s="45" t="s">
        <v>19</v>
      </c>
      <c r="C16" s="76">
        <v>29023</v>
      </c>
      <c r="D16" s="76" t="str">
        <f>VLOOKUP(A:A,[1]SAP!$B$2:$B$150,1,0)</f>
        <v>29023</v>
      </c>
      <c r="E16" t="s">
        <v>235</v>
      </c>
      <c r="F16" t="str">
        <f t="shared" ca="1" si="0"/>
        <v>Copy E:\加盟账单\2019账单\2019年07月\商品\账单\模型v1.0.xlsx E:\加盟账单\2019账单\2019年07月\商品\账单\29023.xlsx</v>
      </c>
      <c r="G16" t="str">
        <f t="shared" ca="1" si="1"/>
        <v>E:\加盟账单\2019账单\2019年07月\商品\账单\29023.xlsx</v>
      </c>
      <c r="H16" t="s">
        <v>237</v>
      </c>
      <c r="I16" s="80" t="str">
        <f>VLOOKUP(B:B,Mail!D:H,5,0)</f>
        <v>554542360@qq.com</v>
      </c>
      <c r="K16" t="b">
        <f t="shared" ref="K16" si="7">H16=I16</f>
        <v>1</v>
      </c>
    </row>
    <row r="17" spans="1:11" ht="15.75" thickTop="1" thickBot="1" x14ac:dyDescent="0.25">
      <c r="A17" s="45" t="s">
        <v>857</v>
      </c>
      <c r="B17" s="45" t="s">
        <v>20</v>
      </c>
      <c r="C17" s="76">
        <v>29024</v>
      </c>
      <c r="D17" s="76" t="str">
        <f>VLOOKUP(A:A,[1]SAP!$B$2:$B$150,1,0)</f>
        <v>29024</v>
      </c>
      <c r="E17" t="s">
        <v>238</v>
      </c>
      <c r="F17" t="str">
        <f t="shared" ca="1" si="0"/>
        <v>Copy E:\加盟账单\2019账单\2019年07月\商品\账单\模型v1.0.xlsx E:\加盟账单\2019账单\2019年07月\商品\账单\29024.xlsx</v>
      </c>
      <c r="G17" t="str">
        <f t="shared" ca="1" si="1"/>
        <v>E:\加盟账单\2019账单\2019年07月\商品\账单\29024.xlsx</v>
      </c>
      <c r="H17" t="s">
        <v>241</v>
      </c>
      <c r="I17" s="80" t="str">
        <f>VLOOKUP(B:B,Mail!D:H,5,0)</f>
        <v>282940037@qq.com</v>
      </c>
      <c r="K17" t="b">
        <f>H17=I17</f>
        <v>1</v>
      </c>
    </row>
    <row r="18" spans="1:11" ht="15.75" thickTop="1" thickBot="1" x14ac:dyDescent="0.25">
      <c r="A18" s="45" t="s">
        <v>858</v>
      </c>
      <c r="B18" s="45" t="s">
        <v>21</v>
      </c>
      <c r="C18" s="76">
        <v>29025</v>
      </c>
      <c r="D18" s="76" t="str">
        <f>VLOOKUP(A:A,[1]SAP!$B$2:$B$150,1,0)</f>
        <v>29025</v>
      </c>
      <c r="E18" t="s">
        <v>243</v>
      </c>
      <c r="F18" t="str">
        <f t="shared" ca="1" si="0"/>
        <v>Copy E:\加盟账单\2019账单\2019年07月\商品\账单\模型v1.0.xlsx E:\加盟账单\2019账单\2019年07月\商品\账单\29025.xlsx</v>
      </c>
      <c r="G18" t="str">
        <f t="shared" ca="1" si="1"/>
        <v>E:\加盟账单\2019账单\2019年07月\商品\账单\29025.xlsx</v>
      </c>
      <c r="H18" t="s">
        <v>244</v>
      </c>
      <c r="I18" s="80" t="str">
        <f>VLOOKUP(B:B,Mail!D:H,5,0)</f>
        <v>497021699@qq.com</v>
      </c>
      <c r="K18" t="b">
        <f t="shared" ref="K18" si="8">H18=I18</f>
        <v>1</v>
      </c>
    </row>
    <row r="19" spans="1:11" ht="15.75" thickTop="1" thickBot="1" x14ac:dyDescent="0.25">
      <c r="A19" s="45" t="s">
        <v>859</v>
      </c>
      <c r="B19" s="45" t="s">
        <v>24</v>
      </c>
      <c r="C19" s="76">
        <v>29031</v>
      </c>
      <c r="D19" s="76" t="str">
        <f>VLOOKUP(A:A,[1]SAP!$B$2:$B$150,1,0)</f>
        <v>29031</v>
      </c>
      <c r="E19" t="s">
        <v>255</v>
      </c>
      <c r="F19" t="str">
        <f t="shared" ca="1" si="0"/>
        <v>Copy E:\加盟账单\2019账单\2019年07月\商品\账单\模型v1.0.xlsx E:\加盟账单\2019账单\2019年07月\商品\账单\29031.xlsx</v>
      </c>
      <c r="G19" t="str">
        <f t="shared" ca="1" si="1"/>
        <v>E:\加盟账单\2019账单\2019年07月\商品\账单\29031.xlsx</v>
      </c>
      <c r="H19" t="s">
        <v>257</v>
      </c>
      <c r="I19" s="80" t="str">
        <f>VLOOKUP(B:B,Mail!D:H,5,0)</f>
        <v>395730747@qq.com</v>
      </c>
      <c r="K19" t="b">
        <f>H19=I19</f>
        <v>1</v>
      </c>
    </row>
    <row r="20" spans="1:11" ht="15.75" thickTop="1" thickBot="1" x14ac:dyDescent="0.25">
      <c r="A20" s="45" t="s">
        <v>860</v>
      </c>
      <c r="B20" s="45" t="s">
        <v>27</v>
      </c>
      <c r="C20" s="76">
        <v>29036</v>
      </c>
      <c r="D20" s="76" t="str">
        <f>VLOOKUP(A:A,[1]SAP!$B$2:$B$150,1,0)</f>
        <v>29036</v>
      </c>
      <c r="E20" t="s">
        <v>266</v>
      </c>
      <c r="F20" t="str">
        <f t="shared" ca="1" si="0"/>
        <v>Copy E:\加盟账单\2019账单\2019年07月\商品\账单\模型v1.0.xlsx E:\加盟账单\2019账单\2019年07月\商品\账单\29036.xlsx</v>
      </c>
      <c r="G20" t="str">
        <f t="shared" ca="1" si="1"/>
        <v>E:\加盟账单\2019账单\2019年07月\商品\账单\29036.xlsx</v>
      </c>
      <c r="H20" t="s">
        <v>268</v>
      </c>
      <c r="I20" s="80" t="str">
        <f>VLOOKUP(B:B,Mail!D:H,5,0)</f>
        <v>492929811@qq.com</v>
      </c>
      <c r="K20" t="b">
        <f t="shared" ref="K20" si="9">H20=I20</f>
        <v>1</v>
      </c>
    </row>
    <row r="21" spans="1:11" ht="15.75" thickTop="1" thickBot="1" x14ac:dyDescent="0.25">
      <c r="A21" s="45" t="s">
        <v>861</v>
      </c>
      <c r="B21" s="45" t="s">
        <v>29</v>
      </c>
      <c r="C21" s="76">
        <v>29038</v>
      </c>
      <c r="D21" s="76" t="str">
        <f>VLOOKUP(A:A,[1]SAP!$B$2:$B$150,1,0)</f>
        <v>29038</v>
      </c>
      <c r="E21" t="s">
        <v>275</v>
      </c>
      <c r="F21" t="str">
        <f t="shared" ca="1" si="0"/>
        <v>Copy E:\加盟账单\2019账单\2019年07月\商品\账单\模型v1.0.xlsx E:\加盟账单\2019账单\2019年07月\商品\账单\29038.xlsx</v>
      </c>
      <c r="G21" t="str">
        <f t="shared" ca="1" si="1"/>
        <v>E:\加盟账单\2019账单\2019年07月\商品\账单\29038.xlsx</v>
      </c>
      <c r="H21" t="s">
        <v>277</v>
      </c>
      <c r="I21" s="80" t="str">
        <f>VLOOKUP(B:B,Mail!D:H,5,0)</f>
        <v>1175401298@qq.com</v>
      </c>
      <c r="K21" t="b">
        <f>H21=I21</f>
        <v>1</v>
      </c>
    </row>
    <row r="22" spans="1:11" ht="15.75" thickTop="1" thickBot="1" x14ac:dyDescent="0.25">
      <c r="A22" s="45" t="s">
        <v>862</v>
      </c>
      <c r="B22" s="45" t="s">
        <v>30</v>
      </c>
      <c r="C22" s="76">
        <v>29039</v>
      </c>
      <c r="D22" s="76" t="str">
        <f>VLOOKUP(A:A,[1]SAP!$B$2:$B$150,1,0)</f>
        <v>29039</v>
      </c>
      <c r="E22" t="s">
        <v>280</v>
      </c>
      <c r="F22" t="str">
        <f t="shared" ca="1" si="0"/>
        <v>Copy E:\加盟账单\2019账单\2019年07月\商品\账单\模型v1.0.xlsx E:\加盟账单\2019账单\2019年07月\商品\账单\29039.xlsx</v>
      </c>
      <c r="G22" t="str">
        <f t="shared" ca="1" si="1"/>
        <v>E:\加盟账单\2019账单\2019年07月\商品\账单\29039.xlsx</v>
      </c>
      <c r="H22" t="s">
        <v>282</v>
      </c>
      <c r="I22" s="80" t="str">
        <f>VLOOKUP(B:B,Mail!D:H,5,0)</f>
        <v>2410888347@qq.com</v>
      </c>
      <c r="K22" t="b">
        <f t="shared" ref="K22" si="10">H22=I22</f>
        <v>1</v>
      </c>
    </row>
    <row r="23" spans="1:11" ht="15.75" thickTop="1" thickBot="1" x14ac:dyDescent="0.25">
      <c r="A23" s="45" t="s">
        <v>863</v>
      </c>
      <c r="B23" s="45" t="s">
        <v>31</v>
      </c>
      <c r="C23" s="76">
        <v>29040</v>
      </c>
      <c r="D23" s="76" t="str">
        <f>VLOOKUP(A:A,[1]SAP!$B$2:$B$150,1,0)</f>
        <v>29040</v>
      </c>
      <c r="E23" t="s">
        <v>283</v>
      </c>
      <c r="F23" t="str">
        <f t="shared" ca="1" si="0"/>
        <v>Copy E:\加盟账单\2019账单\2019年07月\商品\账单\模型v1.0.xlsx E:\加盟账单\2019账单\2019年07月\商品\账单\29040.xlsx</v>
      </c>
      <c r="G23" t="str">
        <f t="shared" ca="1" si="1"/>
        <v>E:\加盟账单\2019账单\2019年07月\商品\账单\29040.xlsx</v>
      </c>
      <c r="H23" t="s">
        <v>285</v>
      </c>
      <c r="I23" s="80" t="str">
        <f>VLOOKUP(B:B,Mail!D:H,5,0)</f>
        <v>438837146@qq.com</v>
      </c>
      <c r="K23" t="b">
        <f>H23=I23</f>
        <v>1</v>
      </c>
    </row>
    <row r="24" spans="1:11" ht="15.75" thickTop="1" thickBot="1" x14ac:dyDescent="0.25">
      <c r="A24" s="45" t="s">
        <v>864</v>
      </c>
      <c r="B24" s="45" t="s">
        <v>32</v>
      </c>
      <c r="C24" s="76">
        <v>29042</v>
      </c>
      <c r="D24" s="76" t="str">
        <f>VLOOKUP(A:A,[1]SAP!$B$2:$B$150,1,0)</f>
        <v>29042</v>
      </c>
      <c r="E24" t="s">
        <v>286</v>
      </c>
      <c r="F24" t="str">
        <f t="shared" ca="1" si="0"/>
        <v>Copy E:\加盟账单\2019账单\2019年07月\商品\账单\模型v1.0.xlsx E:\加盟账单\2019账单\2019年07月\商品\账单\29042.xlsx</v>
      </c>
      <c r="G24" t="str">
        <f t="shared" ca="1" si="1"/>
        <v>E:\加盟账单\2019账单\2019年07月\商品\账单\29042.xlsx</v>
      </c>
      <c r="H24" t="s">
        <v>288</v>
      </c>
      <c r="I24" s="80" t="str">
        <f>VLOOKUP(B:B,Mail!D:H,5,0)</f>
        <v>316705173@qq.com</v>
      </c>
      <c r="K24" t="b">
        <f t="shared" ref="K24" si="11">H24=I24</f>
        <v>1</v>
      </c>
    </row>
    <row r="25" spans="1:11" ht="15.75" thickTop="1" thickBot="1" x14ac:dyDescent="0.25">
      <c r="A25" s="45" t="s">
        <v>865</v>
      </c>
      <c r="B25" s="45" t="s">
        <v>34</v>
      </c>
      <c r="C25" s="76">
        <v>29044</v>
      </c>
      <c r="D25" s="76" t="str">
        <f>VLOOKUP(A:A,[1]SAP!$B$2:$B$150,1,0)</f>
        <v>29044</v>
      </c>
      <c r="E25" t="s">
        <v>292</v>
      </c>
      <c r="F25" t="str">
        <f t="shared" ca="1" si="0"/>
        <v>Copy E:\加盟账单\2019账单\2019年07月\商品\账单\模型v1.0.xlsx E:\加盟账单\2019账单\2019年07月\商品\账单\29044.xlsx</v>
      </c>
      <c r="G25" t="str">
        <f t="shared" ca="1" si="1"/>
        <v>E:\加盟账单\2019账单\2019年07月\商品\账单\29044.xlsx</v>
      </c>
      <c r="H25" t="s">
        <v>808</v>
      </c>
      <c r="I25" s="80" t="str">
        <f>VLOOKUP(B:B,Mail!D:H,5,0)</f>
        <v>406195895@qq.com</v>
      </c>
      <c r="K25" t="b">
        <f>H25=I25</f>
        <v>1</v>
      </c>
    </row>
    <row r="26" spans="1:11" ht="15.75" thickTop="1" thickBot="1" x14ac:dyDescent="0.25">
      <c r="A26" s="45" t="s">
        <v>866</v>
      </c>
      <c r="B26" s="45" t="s">
        <v>765</v>
      </c>
      <c r="C26" s="76">
        <v>29045</v>
      </c>
      <c r="D26" s="76" t="str">
        <f>VLOOKUP(A:A,[1]SAP!$B$2:$B$150,1,0)</f>
        <v>29045</v>
      </c>
      <c r="E26" t="s">
        <v>776</v>
      </c>
      <c r="F26" t="str">
        <f t="shared" ca="1" si="0"/>
        <v>Copy E:\加盟账单\2019账单\2019年07月\商品\账单\模型v1.0.xlsx E:\加盟账单\2019账单\2019年07月\商品\账单\29045.xlsx</v>
      </c>
      <c r="G26" t="str">
        <f t="shared" ca="1" si="1"/>
        <v>E:\加盟账单\2019账单\2019年07月\商品\账单\29045.xlsx</v>
      </c>
      <c r="H26" t="s">
        <v>196</v>
      </c>
      <c r="I26" s="80" t="e">
        <f>VLOOKUP(B:B,Mail!D:H,5,0)</f>
        <v>#N/A</v>
      </c>
      <c r="K26" t="e">
        <f t="shared" ref="K26" si="12">H26=I26</f>
        <v>#N/A</v>
      </c>
    </row>
    <row r="27" spans="1:11" ht="15.75" thickTop="1" thickBot="1" x14ac:dyDescent="0.25">
      <c r="A27" s="45" t="s">
        <v>867</v>
      </c>
      <c r="B27" s="45" t="s">
        <v>35</v>
      </c>
      <c r="C27" s="76">
        <v>29046</v>
      </c>
      <c r="D27" s="76" t="str">
        <f>VLOOKUP(A:A,[1]SAP!$B$2:$B$150,1,0)</f>
        <v>29046</v>
      </c>
      <c r="E27" t="s">
        <v>295</v>
      </c>
      <c r="F27" t="str">
        <f t="shared" ca="1" si="0"/>
        <v>Copy E:\加盟账单\2019账单\2019年07月\商品\账单\模型v1.0.xlsx E:\加盟账单\2019账单\2019年07月\商品\账单\29046.xlsx</v>
      </c>
      <c r="G27" t="str">
        <f t="shared" ca="1" si="1"/>
        <v>E:\加盟账单\2019账单\2019年07月\商品\账单\29046.xlsx</v>
      </c>
      <c r="H27" t="s">
        <v>248</v>
      </c>
      <c r="I27" s="80" t="str">
        <f>VLOOKUP(B:B,Mail!D:H,5,0)</f>
        <v>1801735103@qq.com</v>
      </c>
      <c r="K27" t="b">
        <f>H27=I27</f>
        <v>1</v>
      </c>
    </row>
    <row r="28" spans="1:11" ht="15.75" thickTop="1" thickBot="1" x14ac:dyDescent="0.25">
      <c r="A28" s="45" t="s">
        <v>868</v>
      </c>
      <c r="B28" s="45" t="s">
        <v>36</v>
      </c>
      <c r="C28" s="76">
        <v>29047</v>
      </c>
      <c r="D28" s="76" t="str">
        <f>VLOOKUP(A:A,[1]SAP!$B$2:$B$150,1,0)</f>
        <v>29047</v>
      </c>
      <c r="E28" t="s">
        <v>300</v>
      </c>
      <c r="F28" t="str">
        <f t="shared" ca="1" si="0"/>
        <v>Copy E:\加盟账单\2019账单\2019年07月\商品\账单\模型v1.0.xlsx E:\加盟账单\2019账单\2019年07月\商品\账单\29047.xlsx</v>
      </c>
      <c r="G28" t="str">
        <f t="shared" ca="1" si="1"/>
        <v>E:\加盟账单\2019账单\2019年07月\商品\账单\29047.xlsx</v>
      </c>
      <c r="H28" t="s">
        <v>302</v>
      </c>
      <c r="I28" s="80" t="str">
        <f>VLOOKUP(B:B,Mail!D:H,5,0)</f>
        <v>27441572@qq.com</v>
      </c>
      <c r="K28" t="b">
        <f t="shared" ref="K28" si="13">H28=I28</f>
        <v>1</v>
      </c>
    </row>
    <row r="29" spans="1:11" ht="15.75" thickTop="1" thickBot="1" x14ac:dyDescent="0.25">
      <c r="A29" s="45" t="s">
        <v>869</v>
      </c>
      <c r="B29" s="45" t="s">
        <v>37</v>
      </c>
      <c r="C29" s="76">
        <v>29049</v>
      </c>
      <c r="D29" s="76" t="str">
        <f>VLOOKUP(A:A,[1]SAP!$B$2:$B$150,1,0)</f>
        <v>29049</v>
      </c>
      <c r="E29" t="s">
        <v>303</v>
      </c>
      <c r="F29" t="str">
        <f t="shared" ca="1" si="0"/>
        <v>Copy E:\加盟账单\2019账单\2019年07月\商品\账单\模型v1.0.xlsx E:\加盟账单\2019账单\2019年07月\商品\账单\29049.xlsx</v>
      </c>
      <c r="G29" t="str">
        <f t="shared" ca="1" si="1"/>
        <v>E:\加盟账单\2019账单\2019年07月\商品\账单\29049.xlsx</v>
      </c>
      <c r="H29" t="s">
        <v>305</v>
      </c>
      <c r="I29" s="80" t="str">
        <f>VLOOKUP(B:B,Mail!D:H,5,0)</f>
        <v>1467566783@qq.com</v>
      </c>
      <c r="K29" t="b">
        <f>H29=I29</f>
        <v>1</v>
      </c>
    </row>
    <row r="30" spans="1:11" ht="15.75" thickTop="1" thickBot="1" x14ac:dyDescent="0.25">
      <c r="A30" s="45" t="s">
        <v>870</v>
      </c>
      <c r="B30" s="45" t="s">
        <v>38</v>
      </c>
      <c r="C30" s="76">
        <v>29050</v>
      </c>
      <c r="D30" s="76" t="str">
        <f>VLOOKUP(A:A,[1]SAP!$B$2:$B$150,1,0)</f>
        <v>29050</v>
      </c>
      <c r="E30" t="s">
        <v>307</v>
      </c>
      <c r="F30" t="str">
        <f t="shared" ca="1" si="0"/>
        <v>Copy E:\加盟账单\2019账单\2019年07月\商品\账单\模型v1.0.xlsx E:\加盟账单\2019账单\2019年07月\商品\账单\29050.xlsx</v>
      </c>
      <c r="G30" t="str">
        <f t="shared" ca="1" si="1"/>
        <v>E:\加盟账单\2019账单\2019年07月\商品\账单\29050.xlsx</v>
      </c>
      <c r="H30" t="s">
        <v>309</v>
      </c>
      <c r="I30" s="80" t="str">
        <f>VLOOKUP(B:B,Mail!D:H,5,0)</f>
        <v>13598284247@163.com</v>
      </c>
      <c r="K30" t="b">
        <f t="shared" ref="K30" si="14">H30=I30</f>
        <v>1</v>
      </c>
    </row>
    <row r="31" spans="1:11" ht="15.75" thickTop="1" thickBot="1" x14ac:dyDescent="0.25">
      <c r="A31" s="45" t="s">
        <v>871</v>
      </c>
      <c r="B31" s="45" t="s">
        <v>40</v>
      </c>
      <c r="C31" s="76">
        <v>29053</v>
      </c>
      <c r="D31" s="76" t="str">
        <f>VLOOKUP(A:A,[1]SAP!$B$2:$B$150,1,0)</f>
        <v>29053</v>
      </c>
      <c r="E31" t="s">
        <v>317</v>
      </c>
      <c r="F31" t="str">
        <f t="shared" ca="1" si="0"/>
        <v>Copy E:\加盟账单\2019账单\2019年07月\商品\账单\模型v1.0.xlsx E:\加盟账单\2019账单\2019年07月\商品\账单\29053.xlsx</v>
      </c>
      <c r="G31" t="str">
        <f t="shared" ca="1" si="1"/>
        <v>E:\加盟账单\2019账单\2019年07月\商品\账单\29053.xlsx</v>
      </c>
      <c r="H31" t="s">
        <v>319</v>
      </c>
      <c r="I31" s="80" t="str">
        <f>VLOOKUP(B:B,Mail!D:H,5,0)</f>
        <v>2585988705@qq.com</v>
      </c>
      <c r="K31" t="b">
        <f>H31=I31</f>
        <v>1</v>
      </c>
    </row>
    <row r="32" spans="1:11" ht="15.75" thickTop="1" thickBot="1" x14ac:dyDescent="0.25">
      <c r="A32" s="45" t="s">
        <v>872</v>
      </c>
      <c r="B32" s="45" t="s">
        <v>41</v>
      </c>
      <c r="C32" s="76">
        <v>29054</v>
      </c>
      <c r="D32" s="76" t="str">
        <f>VLOOKUP(A:A,[1]SAP!$B$2:$B$150,1,0)</f>
        <v>29054</v>
      </c>
      <c r="E32" t="s">
        <v>320</v>
      </c>
      <c r="F32" t="str">
        <f t="shared" ca="1" si="0"/>
        <v>Copy E:\加盟账单\2019账单\2019年07月\商品\账单\模型v1.0.xlsx E:\加盟账单\2019账单\2019年07月\商品\账单\29054.xlsx</v>
      </c>
      <c r="G32" t="str">
        <f t="shared" ca="1" si="1"/>
        <v>E:\加盟账单\2019账单\2019年07月\商品\账单\29054.xlsx</v>
      </c>
      <c r="H32" t="s">
        <v>322</v>
      </c>
      <c r="I32" s="80" t="str">
        <f>VLOOKUP(B:B,Mail!D:H,5,0)</f>
        <v>1172718910@qq.com</v>
      </c>
      <c r="K32" t="b">
        <f t="shared" ref="K32" si="15">H32=I32</f>
        <v>1</v>
      </c>
    </row>
    <row r="33" spans="1:11" ht="15.75" thickTop="1" thickBot="1" x14ac:dyDescent="0.25">
      <c r="A33" s="45" t="s">
        <v>873</v>
      </c>
      <c r="B33" s="45" t="s">
        <v>42</v>
      </c>
      <c r="C33" s="76">
        <v>29055</v>
      </c>
      <c r="D33" s="76" t="str">
        <f>VLOOKUP(A:A,[1]SAP!$B$2:$B$150,1,0)</f>
        <v>29055</v>
      </c>
      <c r="E33" t="s">
        <v>325</v>
      </c>
      <c r="F33" t="str">
        <f t="shared" ca="1" si="0"/>
        <v>Copy E:\加盟账单\2019账单\2019年07月\商品\账单\模型v1.0.xlsx E:\加盟账单\2019账单\2019年07月\商品\账单\29055.xlsx</v>
      </c>
      <c r="G33" t="str">
        <f t="shared" ca="1" si="1"/>
        <v>E:\加盟账单\2019账单\2019年07月\商品\账单\29055.xlsx</v>
      </c>
      <c r="H33" t="s">
        <v>327</v>
      </c>
      <c r="I33" s="80" t="str">
        <f>VLOOKUP(B:B,Mail!D:H,5,0)</f>
        <v>81163873@qq.com</v>
      </c>
      <c r="K33" t="b">
        <f>H33=I33</f>
        <v>1</v>
      </c>
    </row>
    <row r="34" spans="1:11" ht="15.75" thickTop="1" thickBot="1" x14ac:dyDescent="0.25">
      <c r="A34" s="45" t="s">
        <v>874</v>
      </c>
      <c r="B34" s="45" t="s">
        <v>43</v>
      </c>
      <c r="C34" s="76">
        <v>29056</v>
      </c>
      <c r="D34" s="76" t="str">
        <f>VLOOKUP(A:A,[1]SAP!$B$2:$B$150,1,0)</f>
        <v>29056</v>
      </c>
      <c r="E34" t="s">
        <v>329</v>
      </c>
      <c r="F34" t="str">
        <f t="shared" ca="1" si="0"/>
        <v>Copy E:\加盟账单\2019账单\2019年07月\商品\账单\模型v1.0.xlsx E:\加盟账单\2019账单\2019年07月\商品\账单\29056.xlsx</v>
      </c>
      <c r="G34" t="str">
        <f t="shared" ca="1" si="1"/>
        <v>E:\加盟账单\2019账单\2019年07月\商品\账单\29056.xlsx</v>
      </c>
      <c r="H34" t="s">
        <v>331</v>
      </c>
      <c r="I34" s="80" t="str">
        <f>VLOOKUP(B:B,Mail!D:H,5,0)</f>
        <v>354339099@qq.com</v>
      </c>
      <c r="K34" t="b">
        <f t="shared" ref="K34" si="16">H34=I34</f>
        <v>1</v>
      </c>
    </row>
    <row r="35" spans="1:11" ht="15.75" thickTop="1" thickBot="1" x14ac:dyDescent="0.25">
      <c r="A35" s="45" t="s">
        <v>875</v>
      </c>
      <c r="B35" s="45" t="s">
        <v>44</v>
      </c>
      <c r="C35" s="76">
        <v>29057</v>
      </c>
      <c r="D35" s="76" t="str">
        <f>VLOOKUP(A:A,[1]SAP!$B$2:$B$150,1,0)</f>
        <v>29057</v>
      </c>
      <c r="E35" t="s">
        <v>332</v>
      </c>
      <c r="F35" t="str">
        <f t="shared" ca="1" si="0"/>
        <v>Copy E:\加盟账单\2019账单\2019年07月\商品\账单\模型v1.0.xlsx E:\加盟账单\2019账单\2019年07月\商品\账单\29057.xlsx</v>
      </c>
      <c r="G35" t="str">
        <f t="shared" ca="1" si="1"/>
        <v>E:\加盟账单\2019账单\2019年07月\商品\账单\29057.xlsx</v>
      </c>
      <c r="H35" t="s">
        <v>334</v>
      </c>
      <c r="I35" s="80" t="str">
        <f>VLOOKUP(B:B,Mail!D:H,5,0)</f>
        <v>13803751035@139.com</v>
      </c>
      <c r="K35" t="b">
        <f>H35=I35</f>
        <v>1</v>
      </c>
    </row>
    <row r="36" spans="1:11" ht="15.75" thickTop="1" thickBot="1" x14ac:dyDescent="0.25">
      <c r="A36" s="45" t="s">
        <v>876</v>
      </c>
      <c r="B36" s="45" t="s">
        <v>45</v>
      </c>
      <c r="C36" s="76">
        <v>29058</v>
      </c>
      <c r="D36" s="76" t="str">
        <f>VLOOKUP(A:A,[1]SAP!$B$2:$B$150,1,0)</f>
        <v>29058</v>
      </c>
      <c r="E36" t="s">
        <v>336</v>
      </c>
      <c r="F36" t="str">
        <f t="shared" ca="1" si="0"/>
        <v>Copy E:\加盟账单\2019账单\2019年07月\商品\账单\模型v1.0.xlsx E:\加盟账单\2019账单\2019年07月\商品\账单\29058.xlsx</v>
      </c>
      <c r="G36" t="str">
        <f t="shared" ca="1" si="1"/>
        <v>E:\加盟账单\2019账单\2019年07月\商品\账单\29058.xlsx</v>
      </c>
      <c r="H36" t="s">
        <v>339</v>
      </c>
      <c r="I36" s="80" t="str">
        <f>VLOOKUP(B:B,Mail!D:H,5,0)</f>
        <v>981077565@qq.com</v>
      </c>
      <c r="K36" t="b">
        <f t="shared" ref="K36" si="17">H36=I36</f>
        <v>1</v>
      </c>
    </row>
    <row r="37" spans="1:11" ht="15.75" thickTop="1" thickBot="1" x14ac:dyDescent="0.25">
      <c r="A37" s="45" t="s">
        <v>877</v>
      </c>
      <c r="B37" s="45" t="s">
        <v>46</v>
      </c>
      <c r="C37" s="76">
        <v>29059</v>
      </c>
      <c r="D37" s="76" t="str">
        <f>VLOOKUP(A:A,[1]SAP!$B$2:$B$150,1,0)</f>
        <v>29059</v>
      </c>
      <c r="E37" t="s">
        <v>340</v>
      </c>
      <c r="F37" t="str">
        <f t="shared" ca="1" si="0"/>
        <v>Copy E:\加盟账单\2019账单\2019年07月\商品\账单\模型v1.0.xlsx E:\加盟账单\2019账单\2019年07月\商品\账单\29059.xlsx</v>
      </c>
      <c r="G37" t="str">
        <f t="shared" ca="1" si="1"/>
        <v>E:\加盟账单\2019账单\2019年07月\商品\账单\29059.xlsx</v>
      </c>
      <c r="H37" s="46" t="s">
        <v>1003</v>
      </c>
      <c r="I37" s="80" t="str">
        <f>VLOOKUP(B:B,Mail!D:H,5,0)</f>
        <v>153655663@qq.com</v>
      </c>
      <c r="K37" t="b">
        <f>H37=I37</f>
        <v>1</v>
      </c>
    </row>
    <row r="38" spans="1:11" ht="15.75" thickTop="1" thickBot="1" x14ac:dyDescent="0.25">
      <c r="A38" s="45" t="s">
        <v>878</v>
      </c>
      <c r="B38" s="45" t="s">
        <v>49</v>
      </c>
      <c r="C38" s="76">
        <v>29069</v>
      </c>
      <c r="D38" s="76" t="str">
        <f>VLOOKUP(A:A,[1]SAP!$B$2:$B$150,1,0)</f>
        <v>29069</v>
      </c>
      <c r="E38" t="s">
        <v>354</v>
      </c>
      <c r="F38" t="str">
        <f t="shared" ca="1" si="0"/>
        <v>Copy E:\加盟账单\2019账单\2019年07月\商品\账单\模型v1.0.xlsx E:\加盟账单\2019账单\2019年07月\商品\账单\29069.xlsx</v>
      </c>
      <c r="G38" t="str">
        <f t="shared" ca="1" si="1"/>
        <v>E:\加盟账单\2019账单\2019年07月\商品\账单\29069.xlsx</v>
      </c>
      <c r="H38" t="s">
        <v>356</v>
      </c>
      <c r="I38" s="80" t="str">
        <f>VLOOKUP(B:B,Mail!D:H,5,0)</f>
        <v>373787742@qq.com</v>
      </c>
      <c r="K38" t="b">
        <f t="shared" ref="K38" si="18">H38=I38</f>
        <v>1</v>
      </c>
    </row>
    <row r="39" spans="1:11" ht="15.75" thickTop="1" thickBot="1" x14ac:dyDescent="0.25">
      <c r="A39" s="45" t="s">
        <v>879</v>
      </c>
      <c r="B39" s="45" t="s">
        <v>50</v>
      </c>
      <c r="C39" s="76">
        <v>29071</v>
      </c>
      <c r="D39" s="76" t="e">
        <f>VLOOKUP(A:A,[1]SAP!$B$2:$B$150,1,0)</f>
        <v>#N/A</v>
      </c>
      <c r="E39" t="s">
        <v>358</v>
      </c>
      <c r="F39" t="str">
        <f t="shared" ca="1" si="0"/>
        <v>Copy E:\加盟账单\2019账单\2019年07月\商品\账单\模型v1.0.xlsx E:\加盟账单\2019账单\2019年07月\商品\账单\29071.xlsx</v>
      </c>
      <c r="G39" t="str">
        <f t="shared" ca="1" si="1"/>
        <v>E:\加盟账单\2019账单\2019年07月\商品\账单\29071.xlsx</v>
      </c>
      <c r="H39" t="s">
        <v>360</v>
      </c>
      <c r="I39" s="80" t="str">
        <f>VLOOKUP(B:B,Mail!D:H,5,0)</f>
        <v>471666050@qq.com</v>
      </c>
      <c r="K39" t="b">
        <f>H39=I39</f>
        <v>1</v>
      </c>
    </row>
    <row r="40" spans="1:11" ht="15.75" thickTop="1" thickBot="1" x14ac:dyDescent="0.25">
      <c r="A40" s="45" t="s">
        <v>880</v>
      </c>
      <c r="B40" s="45" t="s">
        <v>51</v>
      </c>
      <c r="C40" s="76">
        <v>29072</v>
      </c>
      <c r="D40" s="76" t="str">
        <f>VLOOKUP(A:A,[1]SAP!$B$2:$B$150,1,0)</f>
        <v>29072</v>
      </c>
      <c r="E40" t="s">
        <v>361</v>
      </c>
      <c r="F40" t="str">
        <f t="shared" ca="1" si="0"/>
        <v>Copy E:\加盟账单\2019账单\2019年07月\商品\账单\模型v1.0.xlsx E:\加盟账单\2019账单\2019年07月\商品\账单\29072.xlsx</v>
      </c>
      <c r="G40" t="str">
        <f t="shared" ca="1" si="1"/>
        <v>E:\加盟账单\2019账单\2019年07月\商品\账单\29072.xlsx</v>
      </c>
      <c r="H40" t="s">
        <v>339</v>
      </c>
      <c r="I40" s="80" t="str">
        <f>VLOOKUP(B:B,Mail!D:H,5,0)</f>
        <v>981077565@qq.com</v>
      </c>
      <c r="K40" t="b">
        <f t="shared" ref="K40" si="19">H40=I40</f>
        <v>1</v>
      </c>
    </row>
    <row r="41" spans="1:11" ht="15.75" thickTop="1" thickBot="1" x14ac:dyDescent="0.25">
      <c r="A41" s="45" t="s">
        <v>881</v>
      </c>
      <c r="B41" s="45" t="s">
        <v>52</v>
      </c>
      <c r="C41" s="76">
        <v>29073</v>
      </c>
      <c r="D41" s="76" t="str">
        <f>VLOOKUP(A:A,[1]SAP!$B$2:$B$150,1,0)</f>
        <v>29073</v>
      </c>
      <c r="E41" t="s">
        <v>364</v>
      </c>
      <c r="F41" t="str">
        <f t="shared" ca="1" si="0"/>
        <v>Copy E:\加盟账单\2019账单\2019年07月\商品\账单\模型v1.0.xlsx E:\加盟账单\2019账单\2019年07月\商品\账单\29073.xlsx</v>
      </c>
      <c r="G41" t="str">
        <f t="shared" ca="1" si="1"/>
        <v>E:\加盟账单\2019账单\2019年07月\商品\账单\29073.xlsx</v>
      </c>
      <c r="H41" t="s">
        <v>367</v>
      </c>
      <c r="I41" s="80" t="str">
        <f>VLOOKUP(B:B,Mail!D:H,5,0)</f>
        <v>944121463@qq.com</v>
      </c>
      <c r="K41" t="b">
        <f>H41=I41</f>
        <v>1</v>
      </c>
    </row>
    <row r="42" spans="1:11" ht="15.75" thickTop="1" thickBot="1" x14ac:dyDescent="0.25">
      <c r="A42" s="45" t="s">
        <v>882</v>
      </c>
      <c r="B42" s="45" t="s">
        <v>53</v>
      </c>
      <c r="C42" s="76">
        <v>29074</v>
      </c>
      <c r="D42" s="76" t="str">
        <f>VLOOKUP(A:A,[1]SAP!$B$2:$B$150,1,0)</f>
        <v>29074</v>
      </c>
      <c r="E42" t="s">
        <v>368</v>
      </c>
      <c r="F42" t="str">
        <f t="shared" ca="1" si="0"/>
        <v>Copy E:\加盟账单\2019账单\2019年07月\商品\账单\模型v1.0.xlsx E:\加盟账单\2019账单\2019年07月\商品\账单\29074.xlsx</v>
      </c>
      <c r="G42" t="str">
        <f t="shared" ca="1" si="1"/>
        <v>E:\加盟账单\2019账单\2019年07月\商品\账单\29074.xlsx</v>
      </c>
      <c r="H42" t="s">
        <v>216</v>
      </c>
      <c r="I42" s="80" t="str">
        <f>VLOOKUP(B:B,Mail!D:H,5,0)</f>
        <v>2995096216@qq.com</v>
      </c>
      <c r="K42" t="b">
        <f t="shared" ref="K42" si="20">H42=I42</f>
        <v>1</v>
      </c>
    </row>
    <row r="43" spans="1:11" ht="15.75" thickTop="1" thickBot="1" x14ac:dyDescent="0.25">
      <c r="A43" s="45" t="s">
        <v>883</v>
      </c>
      <c r="B43" s="45" t="s">
        <v>54</v>
      </c>
      <c r="C43" s="76">
        <v>29075</v>
      </c>
      <c r="D43" s="76" t="str">
        <f>VLOOKUP(A:A,[1]SAP!$B$2:$B$150,1,0)</f>
        <v>29075</v>
      </c>
      <c r="E43" t="s">
        <v>370</v>
      </c>
      <c r="F43" t="str">
        <f t="shared" ca="1" si="0"/>
        <v>Copy E:\加盟账单\2019账单\2019年07月\商品\账单\模型v1.0.xlsx E:\加盟账单\2019账单\2019年07月\商品\账单\29075.xlsx</v>
      </c>
      <c r="G43" t="str">
        <f t="shared" ca="1" si="1"/>
        <v>E:\加盟账单\2019账单\2019年07月\商品\账单\29075.xlsx</v>
      </c>
      <c r="H43" t="s">
        <v>372</v>
      </c>
      <c r="I43" s="80" t="str">
        <f>VLOOKUP(B:B,Mail!D:H,5,0)</f>
        <v>659348210@qq.com</v>
      </c>
      <c r="K43" t="b">
        <f>H43=I43</f>
        <v>1</v>
      </c>
    </row>
    <row r="44" spans="1:11" ht="15.75" thickTop="1" thickBot="1" x14ac:dyDescent="0.25">
      <c r="A44" s="45" t="s">
        <v>884</v>
      </c>
      <c r="B44" s="45" t="s">
        <v>55</v>
      </c>
      <c r="C44" s="76">
        <v>29076</v>
      </c>
      <c r="D44" s="76" t="str">
        <f>VLOOKUP(A:A,[1]SAP!$B$2:$B$150,1,0)</f>
        <v>29076</v>
      </c>
      <c r="E44" t="s">
        <v>373</v>
      </c>
      <c r="F44" t="str">
        <f t="shared" ca="1" si="0"/>
        <v>Copy E:\加盟账单\2019账单\2019年07月\商品\账单\模型v1.0.xlsx E:\加盟账单\2019账单\2019年07月\商品\账单\29076.xlsx</v>
      </c>
      <c r="G44" t="str">
        <f t="shared" ca="1" si="1"/>
        <v>E:\加盟账单\2019账单\2019年07月\商品\账单\29076.xlsx</v>
      </c>
      <c r="H44" t="s">
        <v>376</v>
      </c>
      <c r="I44" s="80" t="str">
        <f>VLOOKUP(B:B,Mail!D:H,5,0)</f>
        <v>342633014@qq.com</v>
      </c>
      <c r="K44" t="b">
        <f t="shared" ref="K44" si="21">H44=I44</f>
        <v>1</v>
      </c>
    </row>
    <row r="45" spans="1:11" ht="15.75" thickTop="1" thickBot="1" x14ac:dyDescent="0.25">
      <c r="A45" s="45" t="s">
        <v>885</v>
      </c>
      <c r="B45" s="45" t="s">
        <v>56</v>
      </c>
      <c r="C45" s="76">
        <v>29084</v>
      </c>
      <c r="D45" s="76" t="str">
        <f>VLOOKUP(A:A,[1]SAP!$B$2:$B$150,1,0)</f>
        <v>29084</v>
      </c>
      <c r="E45" t="s">
        <v>379</v>
      </c>
      <c r="F45" t="str">
        <f t="shared" ca="1" si="0"/>
        <v>Copy E:\加盟账单\2019账单\2019年07月\商品\账单\模型v1.0.xlsx E:\加盟账单\2019账单\2019年07月\商品\账单\29084.xlsx</v>
      </c>
      <c r="G45" t="str">
        <f t="shared" ca="1" si="1"/>
        <v>E:\加盟账单\2019账单\2019年07月\商品\账单\29084.xlsx</v>
      </c>
      <c r="H45" t="s">
        <v>381</v>
      </c>
      <c r="I45" s="80" t="str">
        <f>VLOOKUP(B:B,Mail!D:H,5,0)</f>
        <v>764876545@qq.com</v>
      </c>
      <c r="K45" t="b">
        <f>H45=I45</f>
        <v>1</v>
      </c>
    </row>
    <row r="46" spans="1:11" ht="15.75" thickTop="1" thickBot="1" x14ac:dyDescent="0.25">
      <c r="A46" s="45" t="s">
        <v>886</v>
      </c>
      <c r="B46" s="45" t="s">
        <v>57</v>
      </c>
      <c r="C46" s="76">
        <v>29085</v>
      </c>
      <c r="D46" s="76" t="str">
        <f>VLOOKUP(A:A,[1]SAP!$B$2:$B$150,1,0)</f>
        <v>29085</v>
      </c>
      <c r="E46" t="s">
        <v>382</v>
      </c>
      <c r="F46" t="str">
        <f t="shared" ca="1" si="0"/>
        <v>Copy E:\加盟账单\2019账单\2019年07月\商品\账单\模型v1.0.xlsx E:\加盟账单\2019账单\2019年07月\商品\账单\29085.xlsx</v>
      </c>
      <c r="G46" t="str">
        <f t="shared" ca="1" si="1"/>
        <v>E:\加盟账单\2019账单\2019年07月\商品\账单\29085.xlsx</v>
      </c>
      <c r="H46" t="s">
        <v>385</v>
      </c>
      <c r="I46" s="80" t="str">
        <f>VLOOKUP(B:B,Mail!D:H,5,0)</f>
        <v>837427116@qq.com</v>
      </c>
      <c r="K46" t="b">
        <f t="shared" ref="K46" si="22">H46=I46</f>
        <v>1</v>
      </c>
    </row>
    <row r="47" spans="1:11" ht="15.75" thickTop="1" thickBot="1" x14ac:dyDescent="0.25">
      <c r="A47" s="45" t="s">
        <v>887</v>
      </c>
      <c r="B47" s="45" t="s">
        <v>58</v>
      </c>
      <c r="C47" s="76">
        <v>29086</v>
      </c>
      <c r="D47" s="76" t="str">
        <f>VLOOKUP(A:A,[1]SAP!$B$2:$B$150,1,0)</f>
        <v>29086</v>
      </c>
      <c r="E47" t="s">
        <v>386</v>
      </c>
      <c r="F47" t="str">
        <f t="shared" ca="1" si="0"/>
        <v>Copy E:\加盟账单\2019账单\2019年07月\商品\账单\模型v1.0.xlsx E:\加盟账单\2019账单\2019年07月\商品\账单\29086.xlsx</v>
      </c>
      <c r="G47" t="str">
        <f t="shared" ca="1" si="1"/>
        <v>E:\加盟账单\2019账单\2019年07月\商品\账单\29086.xlsx</v>
      </c>
      <c r="H47" t="s">
        <v>389</v>
      </c>
      <c r="I47" s="80" t="str">
        <f>VLOOKUP(B:B,Mail!D:H,5,0)</f>
        <v>1009271267@qq.com</v>
      </c>
      <c r="K47" t="b">
        <f>H47=I47</f>
        <v>1</v>
      </c>
    </row>
    <row r="48" spans="1:11" ht="15.75" thickTop="1" thickBot="1" x14ac:dyDescent="0.25">
      <c r="A48" s="45" t="s">
        <v>888</v>
      </c>
      <c r="B48" s="45" t="s">
        <v>59</v>
      </c>
      <c r="C48" s="76">
        <v>29087</v>
      </c>
      <c r="D48" s="76" t="str">
        <f>VLOOKUP(A:A,[1]SAP!$B$2:$B$150,1,0)</f>
        <v>29087</v>
      </c>
      <c r="E48" t="s">
        <v>391</v>
      </c>
      <c r="F48" t="str">
        <f t="shared" ca="1" si="0"/>
        <v>Copy E:\加盟账单\2019账单\2019年07月\商品\账单\模型v1.0.xlsx E:\加盟账单\2019账单\2019年07月\商品\账单\29087.xlsx</v>
      </c>
      <c r="G48" t="str">
        <f t="shared" ca="1" si="1"/>
        <v>E:\加盟账单\2019账单\2019年07月\商品\账单\29087.xlsx</v>
      </c>
      <c r="H48" t="s">
        <v>353</v>
      </c>
      <c r="I48" s="80" t="str">
        <f>VLOOKUP(B:B,Mail!D:H,5,0)</f>
        <v>85640290@qq.com</v>
      </c>
      <c r="K48" t="b">
        <f t="shared" ref="K48" si="23">H48=I48</f>
        <v>1</v>
      </c>
    </row>
    <row r="49" spans="1:11" ht="15.75" thickTop="1" thickBot="1" x14ac:dyDescent="0.25">
      <c r="A49" s="45" t="s">
        <v>889</v>
      </c>
      <c r="B49" s="45" t="s">
        <v>60</v>
      </c>
      <c r="C49" s="76">
        <v>29088</v>
      </c>
      <c r="D49" s="76" t="str">
        <f>VLOOKUP(A:A,[1]SAP!$B$2:$B$150,1,0)</f>
        <v>29088</v>
      </c>
      <c r="E49" t="s">
        <v>393</v>
      </c>
      <c r="F49" t="str">
        <f t="shared" ca="1" si="0"/>
        <v>Copy E:\加盟账单\2019账单\2019年07月\商品\账单\模型v1.0.xlsx E:\加盟账单\2019账单\2019年07月\商品\账单\29088.xlsx</v>
      </c>
      <c r="G49" t="str">
        <f t="shared" ca="1" si="1"/>
        <v>E:\加盟账单\2019账单\2019年07月\商品\账单\29088.xlsx</v>
      </c>
      <c r="H49" t="s">
        <v>381</v>
      </c>
      <c r="I49" s="80" t="str">
        <f>VLOOKUP(B:B,Mail!D:H,5,0)</f>
        <v>764876545@qq.com</v>
      </c>
      <c r="K49" t="b">
        <f>H49=I49</f>
        <v>1</v>
      </c>
    </row>
    <row r="50" spans="1:11" ht="15.75" thickTop="1" thickBot="1" x14ac:dyDescent="0.25">
      <c r="A50" s="45" t="s">
        <v>890</v>
      </c>
      <c r="B50" s="45" t="s">
        <v>61</v>
      </c>
      <c r="C50" s="76">
        <v>29089</v>
      </c>
      <c r="D50" s="76" t="str">
        <f>VLOOKUP(A:A,[1]SAP!$B$2:$B$150,1,0)</f>
        <v>29089</v>
      </c>
      <c r="E50" t="s">
        <v>396</v>
      </c>
      <c r="F50" t="str">
        <f t="shared" ca="1" si="0"/>
        <v>Copy E:\加盟账单\2019账单\2019年07月\商品\账单\模型v1.0.xlsx E:\加盟账单\2019账单\2019年07月\商品\账单\29089.xlsx</v>
      </c>
      <c r="G50" t="str">
        <f t="shared" ca="1" si="1"/>
        <v>E:\加盟账单\2019账单\2019年07月\商品\账单\29089.xlsx</v>
      </c>
      <c r="H50" t="s">
        <v>399</v>
      </c>
      <c r="I50" s="80" t="str">
        <f>VLOOKUP(B:B,Mail!D:H,5,0)</f>
        <v>317328845@qq.com</v>
      </c>
      <c r="K50" t="b">
        <f t="shared" ref="K50" si="24">H50=I50</f>
        <v>1</v>
      </c>
    </row>
    <row r="51" spans="1:11" ht="15.75" thickTop="1" thickBot="1" x14ac:dyDescent="0.25">
      <c r="A51" s="45" t="s">
        <v>891</v>
      </c>
      <c r="B51" s="45" t="s">
        <v>62</v>
      </c>
      <c r="C51" s="76">
        <v>29090</v>
      </c>
      <c r="D51" s="76" t="str">
        <f>VLOOKUP(A:A,[1]SAP!$B$2:$B$150,1,0)</f>
        <v>29090</v>
      </c>
      <c r="E51" t="s">
        <v>400</v>
      </c>
      <c r="F51" t="str">
        <f t="shared" ca="1" si="0"/>
        <v>Copy E:\加盟账单\2019账单\2019年07月\商品\账单\模型v1.0.xlsx E:\加盟账单\2019账单\2019年07月\商品\账单\29090.xlsx</v>
      </c>
      <c r="G51" t="str">
        <f t="shared" ca="1" si="1"/>
        <v>E:\加盟账单\2019账单\2019年07月\商品\账单\29090.xlsx</v>
      </c>
      <c r="H51" t="s">
        <v>401</v>
      </c>
      <c r="I51" s="80" t="str">
        <f>VLOOKUP(B:B,Mail!D:H,5,0)</f>
        <v>34326164@qq.com</v>
      </c>
      <c r="K51" t="b">
        <f>H51=I51</f>
        <v>1</v>
      </c>
    </row>
    <row r="52" spans="1:11" ht="15.75" thickTop="1" thickBot="1" x14ac:dyDescent="0.25">
      <c r="A52" s="45" t="s">
        <v>892</v>
      </c>
      <c r="B52" s="45" t="s">
        <v>63</v>
      </c>
      <c r="C52" s="76">
        <v>29091</v>
      </c>
      <c r="D52" s="76" t="str">
        <f>VLOOKUP(A:A,[1]SAP!$B$2:$B$150,1,0)</f>
        <v>29091</v>
      </c>
      <c r="E52" t="s">
        <v>402</v>
      </c>
      <c r="F52" t="str">
        <f t="shared" ca="1" si="0"/>
        <v>Copy E:\加盟账单\2019账单\2019年07月\商品\账单\模型v1.0.xlsx E:\加盟账单\2019账单\2019年07月\商品\账单\29091.xlsx</v>
      </c>
      <c r="G52" t="str">
        <f t="shared" ca="1" si="1"/>
        <v>E:\加盟账单\2019账单\2019年07月\商品\账单\29091.xlsx</v>
      </c>
      <c r="H52" t="s">
        <v>405</v>
      </c>
      <c r="I52" s="80" t="str">
        <f>VLOOKUP(B:B,Mail!D:H,5,0)</f>
        <v>641249379@qq.com</v>
      </c>
      <c r="K52" t="b">
        <f t="shared" ref="K52" si="25">H52=I52</f>
        <v>1</v>
      </c>
    </row>
    <row r="53" spans="1:11" ht="15.75" thickTop="1" thickBot="1" x14ac:dyDescent="0.25">
      <c r="A53" s="45" t="s">
        <v>893</v>
      </c>
      <c r="B53" s="45" t="s">
        <v>64</v>
      </c>
      <c r="C53" s="76">
        <v>29092</v>
      </c>
      <c r="D53" s="76" t="str">
        <f>VLOOKUP(A:A,[1]SAP!$B$2:$B$150,1,0)</f>
        <v>29092</v>
      </c>
      <c r="E53" t="s">
        <v>406</v>
      </c>
      <c r="F53" t="str">
        <f t="shared" ca="1" si="0"/>
        <v>Copy E:\加盟账单\2019账单\2019年07月\商品\账单\模型v1.0.xlsx E:\加盟账单\2019账单\2019年07月\商品\账单\29092.xlsx</v>
      </c>
      <c r="G53" t="str">
        <f t="shared" ca="1" si="1"/>
        <v>E:\加盟账单\2019账单\2019年07月\商品\账单\29092.xlsx</v>
      </c>
      <c r="H53" t="s">
        <v>409</v>
      </c>
      <c r="I53" s="80" t="str">
        <f>VLOOKUP(B:B,Mail!D:H,5,0)</f>
        <v>78185462@qq.com</v>
      </c>
      <c r="K53" t="b">
        <f>H53=I53</f>
        <v>1</v>
      </c>
    </row>
    <row r="54" spans="1:11" ht="15.75" thickTop="1" thickBot="1" x14ac:dyDescent="0.25">
      <c r="A54" s="45" t="s">
        <v>894</v>
      </c>
      <c r="B54" s="45" t="s">
        <v>65</v>
      </c>
      <c r="C54" s="76">
        <v>29095</v>
      </c>
      <c r="D54" s="76" t="str">
        <f>VLOOKUP(A:A,[1]SAP!$B$2:$B$150,1,0)</f>
        <v>29095</v>
      </c>
      <c r="E54" t="s">
        <v>410</v>
      </c>
      <c r="F54" t="str">
        <f t="shared" ca="1" si="0"/>
        <v>Copy E:\加盟账单\2019账单\2019年07月\商品\账单\模型v1.0.xlsx E:\加盟账单\2019账单\2019年07月\商品\账单\29095.xlsx</v>
      </c>
      <c r="G54" t="str">
        <f t="shared" ca="1" si="1"/>
        <v>E:\加盟账单\2019账单\2019年07月\商品\账单\29095.xlsx</v>
      </c>
      <c r="H54" s="46" t="s">
        <v>816</v>
      </c>
      <c r="I54" s="80" t="str">
        <f>VLOOKUP(B:B,Mail!D:H,5,0)</f>
        <v>438013350@qq.com</v>
      </c>
      <c r="K54" t="b">
        <f t="shared" ref="K54" si="26">H54=I54</f>
        <v>1</v>
      </c>
    </row>
    <row r="55" spans="1:11" ht="15.75" thickTop="1" thickBot="1" x14ac:dyDescent="0.25">
      <c r="A55" s="45" t="s">
        <v>895</v>
      </c>
      <c r="B55" s="45" t="s">
        <v>67</v>
      </c>
      <c r="C55" s="76">
        <v>29097</v>
      </c>
      <c r="D55" s="76" t="str">
        <f>VLOOKUP(A:A,[1]SAP!$B$2:$B$150,1,0)</f>
        <v>29097</v>
      </c>
      <c r="E55" t="s">
        <v>421</v>
      </c>
      <c r="F55" t="str">
        <f t="shared" ca="1" si="0"/>
        <v>Copy E:\加盟账单\2019账单\2019年07月\商品\账单\模型v1.0.xlsx E:\加盟账单\2019账单\2019年07月\商品\账单\29097.xlsx</v>
      </c>
      <c r="G55" t="str">
        <f t="shared" ca="1" si="1"/>
        <v>E:\加盟账单\2019账单\2019年07月\商品\账单\29097.xlsx</v>
      </c>
      <c r="H55" t="s">
        <v>424</v>
      </c>
      <c r="I55" s="80" t="str">
        <f>VLOOKUP(B:B,Mail!D:H,5,0)</f>
        <v>1806913916@qq.com</v>
      </c>
      <c r="K55" t="b">
        <f>H55=I55</f>
        <v>1</v>
      </c>
    </row>
    <row r="56" spans="1:11" ht="15.75" thickTop="1" thickBot="1" x14ac:dyDescent="0.25">
      <c r="A56" s="45" t="s">
        <v>896</v>
      </c>
      <c r="B56" s="45" t="s">
        <v>68</v>
      </c>
      <c r="C56" s="76">
        <v>29098</v>
      </c>
      <c r="D56" s="76" t="str">
        <f>VLOOKUP(A:A,[1]SAP!$B$2:$B$150,1,0)</f>
        <v>29098</v>
      </c>
      <c r="E56" t="s">
        <v>425</v>
      </c>
      <c r="F56" t="str">
        <f t="shared" ca="1" si="0"/>
        <v>Copy E:\加盟账单\2019账单\2019年07月\商品\账单\模型v1.0.xlsx E:\加盟账单\2019账单\2019年07月\商品\账单\29098.xlsx</v>
      </c>
      <c r="G56" t="str">
        <f t="shared" ca="1" si="1"/>
        <v>E:\加盟账单\2019账单\2019年07月\商品\账单\29098.xlsx</v>
      </c>
      <c r="H56" t="s">
        <v>428</v>
      </c>
      <c r="I56" s="80" t="str">
        <f>VLOOKUP(B:B,Mail!D:H,5,0)</f>
        <v>2071749773@qq.com</v>
      </c>
      <c r="K56" t="b">
        <f t="shared" ref="K56" si="27">H56=I56</f>
        <v>1</v>
      </c>
    </row>
    <row r="57" spans="1:11" ht="15.75" thickTop="1" thickBot="1" x14ac:dyDescent="0.25">
      <c r="A57" s="45" t="s">
        <v>897</v>
      </c>
      <c r="B57" s="45" t="s">
        <v>69</v>
      </c>
      <c r="C57" s="76">
        <v>29100</v>
      </c>
      <c r="D57" s="76" t="str">
        <f>VLOOKUP(A:A,[1]SAP!$B$2:$B$150,1,0)</f>
        <v>29100</v>
      </c>
      <c r="E57" t="s">
        <v>435</v>
      </c>
      <c r="F57" t="str">
        <f t="shared" ca="1" si="0"/>
        <v>Copy E:\加盟账单\2019账单\2019年07月\商品\账单\模型v1.0.xlsx E:\加盟账单\2019账单\2019年07月\商品\账单\29100.xlsx</v>
      </c>
      <c r="G57" t="str">
        <f t="shared" ca="1" si="1"/>
        <v>E:\加盟账单\2019账单\2019年07月\商品\账单\29100.xlsx</v>
      </c>
      <c r="H57" t="s">
        <v>438</v>
      </c>
      <c r="I57" s="80" t="str">
        <f>VLOOKUP(B:B,Mail!D:H,5,0)</f>
        <v>65055505@qq.com</v>
      </c>
      <c r="K57" t="b">
        <f>H57=I57</f>
        <v>1</v>
      </c>
    </row>
    <row r="58" spans="1:11" ht="15.75" thickTop="1" thickBot="1" x14ac:dyDescent="0.25">
      <c r="A58" s="45" t="s">
        <v>898</v>
      </c>
      <c r="B58" s="45" t="s">
        <v>72</v>
      </c>
      <c r="C58" s="76">
        <v>29104</v>
      </c>
      <c r="D58" s="76" t="str">
        <f>VLOOKUP(A:A,[1]SAP!$B$2:$B$150,1,0)</f>
        <v>29104</v>
      </c>
      <c r="E58" t="s">
        <v>452</v>
      </c>
      <c r="F58" t="str">
        <f t="shared" ca="1" si="0"/>
        <v>Copy E:\加盟账单\2019账单\2019年07月\商品\账单\模型v1.0.xlsx E:\加盟账单\2019账单\2019年07月\商品\账单\29104.xlsx</v>
      </c>
      <c r="G58" t="str">
        <f t="shared" ca="1" si="1"/>
        <v>E:\加盟账单\2019账单\2019年07月\商品\账单\29104.xlsx</v>
      </c>
      <c r="H58" t="s">
        <v>455</v>
      </c>
      <c r="I58" s="80" t="str">
        <f>VLOOKUP(B:B,Mail!D:H,5,0)</f>
        <v>742822279@qq.com</v>
      </c>
      <c r="K58" t="b">
        <f t="shared" ref="K58" si="28">H58=I58</f>
        <v>1</v>
      </c>
    </row>
    <row r="59" spans="1:11" ht="15.75" thickTop="1" thickBot="1" x14ac:dyDescent="0.25">
      <c r="A59" s="45" t="s">
        <v>899</v>
      </c>
      <c r="B59" s="45" t="s">
        <v>73</v>
      </c>
      <c r="C59" s="76">
        <v>29105</v>
      </c>
      <c r="D59" s="76" t="str">
        <f>VLOOKUP(A:A,[1]SAP!$B$2:$B$150,1,0)</f>
        <v>29105</v>
      </c>
      <c r="E59" t="s">
        <v>457</v>
      </c>
      <c r="F59" t="str">
        <f t="shared" ca="1" si="0"/>
        <v>Copy E:\加盟账单\2019账单\2019年07月\商品\账单\模型v1.0.xlsx E:\加盟账单\2019账单\2019年07月\商品\账单\29105.xlsx</v>
      </c>
      <c r="G59" t="str">
        <f t="shared" ca="1" si="1"/>
        <v>E:\加盟账单\2019账单\2019年07月\商品\账单\29105.xlsx</v>
      </c>
      <c r="H59" t="s">
        <v>460</v>
      </c>
      <c r="I59" s="80" t="str">
        <f>VLOOKUP(B:B,Mail!D:H,5,0)</f>
        <v>249368505@qq.com</v>
      </c>
      <c r="K59" t="b">
        <f>H59=I59</f>
        <v>1</v>
      </c>
    </row>
    <row r="60" spans="1:11" ht="15.75" thickTop="1" thickBot="1" x14ac:dyDescent="0.25">
      <c r="A60" s="45" t="s">
        <v>900</v>
      </c>
      <c r="B60" s="45" t="s">
        <v>74</v>
      </c>
      <c r="C60" s="76">
        <v>29106</v>
      </c>
      <c r="D60" s="76" t="str">
        <f>VLOOKUP(A:A,[1]SAP!$B$2:$B$150,1,0)</f>
        <v>29106</v>
      </c>
      <c r="E60" t="s">
        <v>461</v>
      </c>
      <c r="F60" t="str">
        <f t="shared" ca="1" si="0"/>
        <v>Copy E:\加盟账单\2019账单\2019年07月\商品\账单\模型v1.0.xlsx E:\加盟账单\2019账单\2019年07月\商品\账单\29106.xlsx</v>
      </c>
      <c r="G60" t="str">
        <f t="shared" ca="1" si="1"/>
        <v>E:\加盟账单\2019账单\2019年07月\商品\账单\29106.xlsx</v>
      </c>
      <c r="H60" t="s">
        <v>381</v>
      </c>
      <c r="I60" s="80" t="str">
        <f>VLOOKUP(B:B,Mail!D:H,5,0)</f>
        <v>764876545@qq.com</v>
      </c>
      <c r="K60" t="b">
        <f t="shared" ref="K60" si="29">H60=I60</f>
        <v>1</v>
      </c>
    </row>
    <row r="61" spans="1:11" ht="15.75" thickTop="1" thickBot="1" x14ac:dyDescent="0.25">
      <c r="A61" s="45" t="s">
        <v>901</v>
      </c>
      <c r="B61" s="45" t="s">
        <v>75</v>
      </c>
      <c r="C61" s="76">
        <v>29107</v>
      </c>
      <c r="D61" s="76" t="str">
        <f>VLOOKUP(A:A,[1]SAP!$B$2:$B$150,1,0)</f>
        <v>29107</v>
      </c>
      <c r="E61" t="s">
        <v>462</v>
      </c>
      <c r="F61" t="str">
        <f t="shared" ca="1" si="0"/>
        <v>Copy E:\加盟账单\2019账单\2019年07月\商品\账单\模型v1.0.xlsx E:\加盟账单\2019账单\2019年07月\商品\账单\29107.xlsx</v>
      </c>
      <c r="G61" t="str">
        <f t="shared" ca="1" si="1"/>
        <v>E:\加盟账单\2019账单\2019年07月\商品\账单\29107.xlsx</v>
      </c>
      <c r="H61" t="s">
        <v>381</v>
      </c>
      <c r="I61" s="80" t="str">
        <f>VLOOKUP(B:B,Mail!D:H,5,0)</f>
        <v>764876545@qq.com</v>
      </c>
      <c r="K61" t="b">
        <f>H61=I61</f>
        <v>1</v>
      </c>
    </row>
    <row r="62" spans="1:11" ht="15.75" thickTop="1" thickBot="1" x14ac:dyDescent="0.25">
      <c r="A62" s="45" t="s">
        <v>902</v>
      </c>
      <c r="B62" s="45" t="s">
        <v>76</v>
      </c>
      <c r="C62" s="76">
        <v>29111</v>
      </c>
      <c r="D62" s="76" t="str">
        <f>VLOOKUP(A:A,[1]SAP!$B$2:$B$150,1,0)</f>
        <v>29111</v>
      </c>
      <c r="E62" t="s">
        <v>463</v>
      </c>
      <c r="F62" t="str">
        <f t="shared" ca="1" si="0"/>
        <v>Copy E:\加盟账单\2019账单\2019年07月\商品\账单\模型v1.0.xlsx E:\加盟账单\2019账单\2019年07月\商品\账单\29111.xlsx</v>
      </c>
      <c r="G62" t="str">
        <f t="shared" ca="1" si="1"/>
        <v>E:\加盟账单\2019账单\2019年07月\商品\账单\29111.xlsx</v>
      </c>
      <c r="H62" t="s">
        <v>466</v>
      </c>
      <c r="I62" s="80" t="str">
        <f>VLOOKUP(B:B,Mail!D:H,5,0)</f>
        <v>489616468@qq.com</v>
      </c>
      <c r="K62" t="b">
        <f t="shared" ref="K62" si="30">H62=I62</f>
        <v>1</v>
      </c>
    </row>
    <row r="63" spans="1:11" ht="15.75" thickTop="1" thickBot="1" x14ac:dyDescent="0.25">
      <c r="A63" s="45" t="s">
        <v>903</v>
      </c>
      <c r="B63" s="45" t="s">
        <v>77</v>
      </c>
      <c r="C63" s="76">
        <v>29112</v>
      </c>
      <c r="D63" s="76" t="str">
        <f>VLOOKUP(A:A,[1]SAP!$B$2:$B$150,1,0)</f>
        <v>29112</v>
      </c>
      <c r="E63" t="s">
        <v>467</v>
      </c>
      <c r="F63" t="str">
        <f t="shared" ca="1" si="0"/>
        <v>Copy E:\加盟账单\2019账单\2019年07月\商品\账单\模型v1.0.xlsx E:\加盟账单\2019账单\2019年07月\商品\账单\29112.xlsx</v>
      </c>
      <c r="G63" t="str">
        <f t="shared" ca="1" si="1"/>
        <v>E:\加盟账单\2019账单\2019年07月\商品\账单\29112.xlsx</v>
      </c>
      <c r="H63" t="s">
        <v>469</v>
      </c>
      <c r="I63" s="80" t="str">
        <f>VLOOKUP(B:B,Mail!D:H,5,0)</f>
        <v>495388981@qq.com</v>
      </c>
      <c r="K63" t="b">
        <f>H63=I63</f>
        <v>1</v>
      </c>
    </row>
    <row r="64" spans="1:11" ht="15.75" thickTop="1" thickBot="1" x14ac:dyDescent="0.25">
      <c r="A64" s="45" t="s">
        <v>904</v>
      </c>
      <c r="B64" s="45" t="s">
        <v>78</v>
      </c>
      <c r="C64" s="76">
        <v>29113</v>
      </c>
      <c r="D64" s="76" t="str">
        <f>VLOOKUP(A:A,[1]SAP!$B$2:$B$150,1,0)</f>
        <v>29113</v>
      </c>
      <c r="E64" t="s">
        <v>470</v>
      </c>
      <c r="F64" t="str">
        <f t="shared" ca="1" si="0"/>
        <v>Copy E:\加盟账单\2019账单\2019年07月\商品\账单\模型v1.0.xlsx E:\加盟账单\2019账单\2019年07月\商品\账单\29113.xlsx</v>
      </c>
      <c r="G64" t="str">
        <f t="shared" ca="1" si="1"/>
        <v>E:\加盟账单\2019账单\2019年07月\商品\账单\29113.xlsx</v>
      </c>
      <c r="H64" t="s">
        <v>376</v>
      </c>
      <c r="I64" s="80" t="str">
        <f>VLOOKUP(B:B,Mail!D:H,5,0)</f>
        <v>342633014@qq.com</v>
      </c>
      <c r="K64" t="b">
        <f t="shared" ref="K64" si="31">H64=I64</f>
        <v>1</v>
      </c>
    </row>
    <row r="65" spans="1:11" ht="15.75" thickTop="1" thickBot="1" x14ac:dyDescent="0.25">
      <c r="A65" s="45" t="s">
        <v>905</v>
      </c>
      <c r="B65" s="45" t="s">
        <v>79</v>
      </c>
      <c r="C65" s="76">
        <v>29114</v>
      </c>
      <c r="D65" s="76" t="str">
        <f>VLOOKUP(A:A,[1]SAP!$B$2:$B$150,1,0)</f>
        <v>29114</v>
      </c>
      <c r="E65" t="s">
        <v>473</v>
      </c>
      <c r="F65" t="str">
        <f t="shared" ca="1" si="0"/>
        <v>Copy E:\加盟账单\2019账单\2019年07月\商品\账单\模型v1.0.xlsx E:\加盟账单\2019账单\2019年07月\商品\账单\29114.xlsx</v>
      </c>
      <c r="G65" t="str">
        <f t="shared" ca="1" si="1"/>
        <v>E:\加盟账单\2019账单\2019年07月\商品\账单\29114.xlsx</v>
      </c>
      <c r="H65" t="s">
        <v>475</v>
      </c>
      <c r="I65" s="80" t="str">
        <f>VLOOKUP(B:B,Mail!D:H,5,0)</f>
        <v>250571682@qq.com</v>
      </c>
      <c r="K65" t="b">
        <f>H65=I65</f>
        <v>1</v>
      </c>
    </row>
    <row r="66" spans="1:11" ht="15.75" thickTop="1" thickBot="1" x14ac:dyDescent="0.25">
      <c r="A66" s="45" t="s">
        <v>906</v>
      </c>
      <c r="B66" s="45" t="s">
        <v>80</v>
      </c>
      <c r="C66" s="76">
        <v>29115</v>
      </c>
      <c r="D66" s="76" t="str">
        <f>VLOOKUP(A:A,[1]SAP!$B$2:$B$150,1,0)</f>
        <v>29115</v>
      </c>
      <c r="E66" t="s">
        <v>477</v>
      </c>
      <c r="F66" t="str">
        <f t="shared" ca="1" si="0"/>
        <v>Copy E:\加盟账单\2019账单\2019年07月\商品\账单\模型v1.0.xlsx E:\加盟账单\2019账单\2019年07月\商品\账单\29115.xlsx</v>
      </c>
      <c r="G66" t="str">
        <f t="shared" ca="1" si="1"/>
        <v>E:\加盟账单\2019账单\2019年07月\商品\账单\29115.xlsx</v>
      </c>
      <c r="H66" t="s">
        <v>478</v>
      </c>
      <c r="I66" s="80" t="str">
        <f>VLOOKUP(B:B,Mail!D:H,5,0)</f>
        <v>1124999758@qq.com</v>
      </c>
      <c r="K66" t="b">
        <f t="shared" ref="K66" si="32">H66=I66</f>
        <v>1</v>
      </c>
    </row>
    <row r="67" spans="1:11" ht="15.75" thickTop="1" thickBot="1" x14ac:dyDescent="0.25">
      <c r="A67" s="45" t="s">
        <v>907</v>
      </c>
      <c r="B67" s="45" t="s">
        <v>81</v>
      </c>
      <c r="C67" s="76">
        <v>29116</v>
      </c>
      <c r="D67" s="76" t="str">
        <f>VLOOKUP(A:A,[1]SAP!$B$2:$B$150,1,0)</f>
        <v>29116</v>
      </c>
      <c r="E67" t="s">
        <v>479</v>
      </c>
      <c r="F67" t="str">
        <f t="shared" ref="F67:F130" ca="1" si="33">"Copy "&amp;$I$2&amp;"模型v1.0.xlsx "&amp;$I$2&amp;""&amp;A67&amp;".xlsx"</f>
        <v>Copy E:\加盟账单\2019账单\2019年07月\商品\账单\模型v1.0.xlsx E:\加盟账单\2019账单\2019年07月\商品\账单\29116.xlsx</v>
      </c>
      <c r="G67" t="str">
        <f t="shared" ref="G67:G130" ca="1" si="34">$I$2&amp;""&amp;A67&amp;".xlsx"</f>
        <v>E:\加盟账单\2019账单\2019年07月\商品\账单\29116.xlsx</v>
      </c>
      <c r="H67" t="s">
        <v>481</v>
      </c>
      <c r="I67" s="80" t="str">
        <f>VLOOKUP(B:B,Mail!D:H,5,0)</f>
        <v>1685515330@qq.com</v>
      </c>
      <c r="K67" t="b">
        <f>H67=I67</f>
        <v>1</v>
      </c>
    </row>
    <row r="68" spans="1:11" ht="15.75" thickTop="1" thickBot="1" x14ac:dyDescent="0.25">
      <c r="A68" s="45" t="s">
        <v>908</v>
      </c>
      <c r="B68" s="45" t="s">
        <v>83</v>
      </c>
      <c r="C68" s="76">
        <v>29118</v>
      </c>
      <c r="D68" s="76" t="str">
        <f>VLOOKUP(A:A,[1]SAP!$B$2:$B$150,1,0)</f>
        <v>29118</v>
      </c>
      <c r="E68" t="s">
        <v>484</v>
      </c>
      <c r="F68" t="str">
        <f t="shared" ca="1" si="33"/>
        <v>Copy E:\加盟账单\2019账单\2019年07月\商品\账单\模型v1.0.xlsx E:\加盟账单\2019账单\2019年07月\商品\账单\29118.xlsx</v>
      </c>
      <c r="G68" t="str">
        <f t="shared" ca="1" si="34"/>
        <v>E:\加盟账单\2019账单\2019年07月\商品\账单\29118.xlsx</v>
      </c>
      <c r="H68" t="s">
        <v>486</v>
      </c>
      <c r="I68" s="80" t="str">
        <f>VLOOKUP(B:B,Mail!D:H,5,0)</f>
        <v>qxl15938880379@126.com</v>
      </c>
      <c r="K68" t="b">
        <f t="shared" ref="K68" si="35">H68=I68</f>
        <v>1</v>
      </c>
    </row>
    <row r="69" spans="1:11" ht="15.75" thickTop="1" thickBot="1" x14ac:dyDescent="0.25">
      <c r="A69" s="45" t="s">
        <v>909</v>
      </c>
      <c r="B69" s="45" t="s">
        <v>84</v>
      </c>
      <c r="C69" s="76">
        <v>29119</v>
      </c>
      <c r="D69" s="76" t="str">
        <f>VLOOKUP(A:A,[1]SAP!$B$2:$B$150,1,0)</f>
        <v>29119</v>
      </c>
      <c r="E69" t="s">
        <v>488</v>
      </c>
      <c r="F69" t="str">
        <f t="shared" ca="1" si="33"/>
        <v>Copy E:\加盟账单\2019账单\2019年07月\商品\账单\模型v1.0.xlsx E:\加盟账单\2019账单\2019年07月\商品\账单\29119.xlsx</v>
      </c>
      <c r="G69" t="str">
        <f t="shared" ca="1" si="34"/>
        <v>E:\加盟账单\2019账单\2019年07月\商品\账单\29119.xlsx</v>
      </c>
      <c r="H69" t="s">
        <v>490</v>
      </c>
      <c r="I69" s="80" t="str">
        <f>VLOOKUP(B:B,Mail!D:H,5,0)</f>
        <v>445466962@qq.com</v>
      </c>
      <c r="K69" t="b">
        <f>H69=I69</f>
        <v>1</v>
      </c>
    </row>
    <row r="70" spans="1:11" ht="15.75" thickTop="1" thickBot="1" x14ac:dyDescent="0.25">
      <c r="A70" s="45" t="s">
        <v>910</v>
      </c>
      <c r="B70" s="45" t="s">
        <v>85</v>
      </c>
      <c r="C70" s="76">
        <v>29121</v>
      </c>
      <c r="D70" s="76" t="str">
        <f>VLOOKUP(A:A,[1]SAP!$B$2:$B$150,1,0)</f>
        <v>29121</v>
      </c>
      <c r="E70" t="s">
        <v>491</v>
      </c>
      <c r="F70" t="str">
        <f t="shared" ca="1" si="33"/>
        <v>Copy E:\加盟账单\2019账单\2019年07月\商品\账单\模型v1.0.xlsx E:\加盟账单\2019账单\2019年07月\商品\账单\29121.xlsx</v>
      </c>
      <c r="G70" t="str">
        <f t="shared" ca="1" si="34"/>
        <v>E:\加盟账单\2019账单\2019年07月\商品\账单\29121.xlsx</v>
      </c>
      <c r="H70" t="s">
        <v>493</v>
      </c>
      <c r="I70" s="80" t="str">
        <f>VLOOKUP(B:B,Mail!D:H,5,0)</f>
        <v>1124675343@qq.com</v>
      </c>
      <c r="K70" t="b">
        <f t="shared" ref="K70" si="36">H70=I70</f>
        <v>1</v>
      </c>
    </row>
    <row r="71" spans="1:11" ht="15.75" thickTop="1" thickBot="1" x14ac:dyDescent="0.25">
      <c r="A71" s="45" t="s">
        <v>911</v>
      </c>
      <c r="B71" s="45" t="s">
        <v>86</v>
      </c>
      <c r="C71" s="76">
        <v>29125</v>
      </c>
      <c r="D71" s="76" t="str">
        <f>VLOOKUP(A:A,[1]SAP!$B$2:$B$150,1,0)</f>
        <v>29125</v>
      </c>
      <c r="E71" t="s">
        <v>496</v>
      </c>
      <c r="F71" t="str">
        <f t="shared" ca="1" si="33"/>
        <v>Copy E:\加盟账单\2019账单\2019年07月\商品\账单\模型v1.0.xlsx E:\加盟账单\2019账单\2019年07月\商品\账单\29125.xlsx</v>
      </c>
      <c r="G71" t="str">
        <f t="shared" ca="1" si="34"/>
        <v>E:\加盟账单\2019账单\2019年07月\商品\账单\29125.xlsx</v>
      </c>
      <c r="H71" t="s">
        <v>498</v>
      </c>
      <c r="I71" s="80" t="str">
        <f>VLOOKUP(B:B,Mail!D:H,5,0)</f>
        <v>dqx@bsdglasses.com</v>
      </c>
      <c r="K71" t="b">
        <f>H71=I71</f>
        <v>1</v>
      </c>
    </row>
    <row r="72" spans="1:11" ht="15.75" thickTop="1" thickBot="1" x14ac:dyDescent="0.25">
      <c r="A72" s="45" t="s">
        <v>912</v>
      </c>
      <c r="B72" s="45" t="s">
        <v>87</v>
      </c>
      <c r="C72" s="76">
        <v>29127</v>
      </c>
      <c r="D72" s="76" t="str">
        <f>VLOOKUP(A:A,[1]SAP!$B$2:$B$150,1,0)</f>
        <v>29127</v>
      </c>
      <c r="E72" t="s">
        <v>499</v>
      </c>
      <c r="F72" t="str">
        <f t="shared" ca="1" si="33"/>
        <v>Copy E:\加盟账单\2019账单\2019年07月\商品\账单\模型v1.0.xlsx E:\加盟账单\2019账单\2019年07月\商品\账单\29127.xlsx</v>
      </c>
      <c r="G72" t="str">
        <f t="shared" ca="1" si="34"/>
        <v>E:\加盟账单\2019账单\2019年07月\商品\账单\29127.xlsx</v>
      </c>
      <c r="H72" t="s">
        <v>501</v>
      </c>
      <c r="I72" s="80" t="str">
        <f>VLOOKUP(B:B,Mail!D:H,5,0)</f>
        <v>36199643@qq.com</v>
      </c>
      <c r="K72" t="b">
        <f t="shared" ref="K72" si="37">H72=I72</f>
        <v>1</v>
      </c>
    </row>
    <row r="73" spans="1:11" ht="15.75" thickTop="1" thickBot="1" x14ac:dyDescent="0.25">
      <c r="A73" s="45" t="s">
        <v>913</v>
      </c>
      <c r="B73" s="45" t="s">
        <v>88</v>
      </c>
      <c r="C73" s="76">
        <v>29128</v>
      </c>
      <c r="D73" s="76" t="str">
        <f>VLOOKUP(A:A,[1]SAP!$B$2:$B$150,1,0)</f>
        <v>29128</v>
      </c>
      <c r="E73" t="s">
        <v>502</v>
      </c>
      <c r="F73" t="str">
        <f t="shared" ca="1" si="33"/>
        <v>Copy E:\加盟账单\2019账单\2019年07月\商品\账单\模型v1.0.xlsx E:\加盟账单\2019账单\2019年07月\商品\账单\29128.xlsx</v>
      </c>
      <c r="G73" t="str">
        <f t="shared" ca="1" si="34"/>
        <v>E:\加盟账单\2019账单\2019年07月\商品\账单\29128.xlsx</v>
      </c>
      <c r="H73" t="s">
        <v>504</v>
      </c>
      <c r="I73" s="80" t="str">
        <f>VLOOKUP(B:B,Mail!D:H,5,0)</f>
        <v>874769045@qq.com</v>
      </c>
      <c r="K73" t="b">
        <f>H73=I73</f>
        <v>1</v>
      </c>
    </row>
    <row r="74" spans="1:11" ht="15.75" thickTop="1" thickBot="1" x14ac:dyDescent="0.25">
      <c r="A74" s="45" t="s">
        <v>914</v>
      </c>
      <c r="B74" s="45" t="s">
        <v>89</v>
      </c>
      <c r="C74" s="76">
        <v>29129</v>
      </c>
      <c r="D74" s="76" t="str">
        <f>VLOOKUP(A:A,[1]SAP!$B$2:$B$150,1,0)</f>
        <v>29129</v>
      </c>
      <c r="E74" t="s">
        <v>505</v>
      </c>
      <c r="F74" t="str">
        <f t="shared" ca="1" si="33"/>
        <v>Copy E:\加盟账单\2019账单\2019年07月\商品\账单\模型v1.0.xlsx E:\加盟账单\2019账单\2019年07月\商品\账单\29129.xlsx</v>
      </c>
      <c r="G74" t="str">
        <f t="shared" ca="1" si="34"/>
        <v>E:\加盟账单\2019账单\2019年07月\商品\账单\29129.xlsx</v>
      </c>
      <c r="H74" t="s">
        <v>507</v>
      </c>
      <c r="I74" s="80" t="str">
        <f>VLOOKUP(B:B,Mail!D:H,5,0)</f>
        <v>47588205@qq.com</v>
      </c>
      <c r="K74" t="b">
        <f t="shared" ref="K74" si="38">H74=I74</f>
        <v>1</v>
      </c>
    </row>
    <row r="75" spans="1:11" ht="15.75" thickTop="1" thickBot="1" x14ac:dyDescent="0.25">
      <c r="A75" s="45" t="s">
        <v>915</v>
      </c>
      <c r="B75" s="45" t="s">
        <v>90</v>
      </c>
      <c r="C75" s="76">
        <v>29130</v>
      </c>
      <c r="D75" s="76" t="str">
        <f>VLOOKUP(A:A,[1]SAP!$B$2:$B$150,1,0)</f>
        <v>29130</v>
      </c>
      <c r="E75" t="s">
        <v>508</v>
      </c>
      <c r="F75" t="str">
        <f t="shared" ca="1" si="33"/>
        <v>Copy E:\加盟账单\2019账单\2019年07月\商品\账单\模型v1.0.xlsx E:\加盟账单\2019账单\2019年07月\商品\账单\29130.xlsx</v>
      </c>
      <c r="G75" t="str">
        <f t="shared" ca="1" si="34"/>
        <v>E:\加盟账单\2019账单\2019年07月\商品\账单\29130.xlsx</v>
      </c>
      <c r="H75" t="s">
        <v>510</v>
      </c>
      <c r="I75" s="80" t="str">
        <f>VLOOKUP(B:B,Mail!D:H,5,0)</f>
        <v xml:space="preserve">361321658@qq.com </v>
      </c>
      <c r="K75" t="b">
        <f>H75=I75</f>
        <v>1</v>
      </c>
    </row>
    <row r="76" spans="1:11" ht="15.75" thickTop="1" thickBot="1" x14ac:dyDescent="0.25">
      <c r="A76" s="45" t="s">
        <v>916</v>
      </c>
      <c r="B76" s="45" t="s">
        <v>91</v>
      </c>
      <c r="C76" s="76">
        <v>29132</v>
      </c>
      <c r="D76" s="76" t="str">
        <f>VLOOKUP(A:A,[1]SAP!$B$2:$B$150,1,0)</f>
        <v>29132</v>
      </c>
      <c r="E76" t="s">
        <v>512</v>
      </c>
      <c r="F76" t="str">
        <f t="shared" ca="1" si="33"/>
        <v>Copy E:\加盟账单\2019账单\2019年07月\商品\账单\模型v1.0.xlsx E:\加盟账单\2019账单\2019年07月\商品\账单\29132.xlsx</v>
      </c>
      <c r="G76" t="str">
        <f t="shared" ca="1" si="34"/>
        <v>E:\加盟账单\2019账单\2019年07月\商品\账单\29132.xlsx</v>
      </c>
      <c r="H76" s="46" t="s">
        <v>809</v>
      </c>
      <c r="I76" s="80" t="str">
        <f>VLOOKUP(B:B,Mail!D:H,5,0)</f>
        <v>86492578@qq.com</v>
      </c>
      <c r="K76" t="b">
        <f t="shared" ref="K76" si="39">H76=I76</f>
        <v>1</v>
      </c>
    </row>
    <row r="77" spans="1:11" ht="15.75" thickTop="1" thickBot="1" x14ac:dyDescent="0.25">
      <c r="A77" s="45" t="s">
        <v>917</v>
      </c>
      <c r="B77" s="45" t="s">
        <v>92</v>
      </c>
      <c r="C77" s="76">
        <v>29133</v>
      </c>
      <c r="D77" s="76" t="str">
        <f>VLOOKUP(A:A,[1]SAP!$B$2:$B$150,1,0)</f>
        <v>29133</v>
      </c>
      <c r="E77" t="s">
        <v>515</v>
      </c>
      <c r="F77" t="str">
        <f t="shared" ca="1" si="33"/>
        <v>Copy E:\加盟账单\2019账单\2019年07月\商品\账单\模型v1.0.xlsx E:\加盟账单\2019账单\2019年07月\商品\账单\29133.xlsx</v>
      </c>
      <c r="G77" t="str">
        <f t="shared" ca="1" si="34"/>
        <v>E:\加盟账单\2019账单\2019年07月\商品\账单\29133.xlsx</v>
      </c>
      <c r="H77" t="s">
        <v>517</v>
      </c>
      <c r="I77" s="80" t="str">
        <f>VLOOKUP(B:B,Mail!D:H,5,0)</f>
        <v>1965672295@qq.com</v>
      </c>
      <c r="K77" t="b">
        <f>H77=I77</f>
        <v>1</v>
      </c>
    </row>
    <row r="78" spans="1:11" ht="15.75" thickTop="1" thickBot="1" x14ac:dyDescent="0.25">
      <c r="A78" s="45" t="s">
        <v>918</v>
      </c>
      <c r="B78" s="45" t="s">
        <v>95</v>
      </c>
      <c r="C78" s="76">
        <v>29137</v>
      </c>
      <c r="D78" s="76" t="str">
        <f>VLOOKUP(A:A,[1]SAP!$B$2:$B$150,1,0)</f>
        <v>29137</v>
      </c>
      <c r="E78" t="s">
        <v>777</v>
      </c>
      <c r="F78" t="str">
        <f t="shared" ca="1" si="33"/>
        <v>Copy E:\加盟账单\2019账单\2019年07月\商品\账单\模型v1.0.xlsx E:\加盟账单\2019账单\2019年07月\商品\账单\29137.xlsx</v>
      </c>
      <c r="G78" t="str">
        <f t="shared" ca="1" si="34"/>
        <v>E:\加盟账单\2019账单\2019年07月\商品\账单\29137.xlsx</v>
      </c>
      <c r="H78" t="s">
        <v>524</v>
      </c>
      <c r="I78" s="80" t="str">
        <f>VLOOKUP(B:B,Mail!D:H,5,0)</f>
        <v xml:space="preserve">287626337@qq.com </v>
      </c>
      <c r="K78" t="b">
        <f t="shared" ref="K78" si="40">H78=I78</f>
        <v>1</v>
      </c>
    </row>
    <row r="79" spans="1:11" ht="15.75" thickTop="1" thickBot="1" x14ac:dyDescent="0.25">
      <c r="A79" s="45" t="s">
        <v>919</v>
      </c>
      <c r="B79" s="45" t="s">
        <v>96</v>
      </c>
      <c r="C79" s="76">
        <v>29138</v>
      </c>
      <c r="D79" s="76" t="str">
        <f>VLOOKUP(A:A,[1]SAP!$B$2:$B$150,1,0)</f>
        <v>29138</v>
      </c>
      <c r="E79" t="s">
        <v>526</v>
      </c>
      <c r="F79" t="str">
        <f t="shared" ca="1" si="33"/>
        <v>Copy E:\加盟账单\2019账单\2019年07月\商品\账单\模型v1.0.xlsx E:\加盟账单\2019账单\2019年07月\商品\账单\29138.xlsx</v>
      </c>
      <c r="G79" t="str">
        <f t="shared" ca="1" si="34"/>
        <v>E:\加盟账单\2019账单\2019年07月\商品\账单\29138.xlsx</v>
      </c>
      <c r="H79" t="s">
        <v>528</v>
      </c>
      <c r="I79" s="80" t="str">
        <f>VLOOKUP(B:B,Mail!D:H,5,0)</f>
        <v xml:space="preserve">369576164@qq.com </v>
      </c>
      <c r="K79" t="b">
        <f>H79=I79</f>
        <v>1</v>
      </c>
    </row>
    <row r="80" spans="1:11" ht="15.75" thickTop="1" thickBot="1" x14ac:dyDescent="0.25">
      <c r="A80" s="45" t="s">
        <v>920</v>
      </c>
      <c r="B80" s="45" t="s">
        <v>97</v>
      </c>
      <c r="C80" s="76">
        <v>29139</v>
      </c>
      <c r="D80" s="76" t="str">
        <f>VLOOKUP(A:A,[1]SAP!$B$2:$B$150,1,0)</f>
        <v>29139</v>
      </c>
      <c r="E80" t="s">
        <v>530</v>
      </c>
      <c r="F80" t="str">
        <f t="shared" ca="1" si="33"/>
        <v>Copy E:\加盟账单\2019账单\2019年07月\商品\账单\模型v1.0.xlsx E:\加盟账单\2019账单\2019年07月\商品\账单\29139.xlsx</v>
      </c>
      <c r="G80" t="str">
        <f t="shared" ca="1" si="34"/>
        <v>E:\加盟账单\2019账单\2019年07月\商品\账单\29139.xlsx</v>
      </c>
      <c r="H80" t="s">
        <v>532</v>
      </c>
      <c r="I80" s="80" t="str">
        <f>VLOOKUP(B:B,Mail!D:H,5,0)</f>
        <v xml:space="preserve">2876321553@qq.com </v>
      </c>
      <c r="K80" t="b">
        <f t="shared" ref="K80" si="41">H80=I80</f>
        <v>1</v>
      </c>
    </row>
    <row r="81" spans="1:11" ht="15.75" thickTop="1" thickBot="1" x14ac:dyDescent="0.25">
      <c r="A81" s="45" t="s">
        <v>921</v>
      </c>
      <c r="B81" s="45" t="s">
        <v>98</v>
      </c>
      <c r="C81" s="76">
        <v>29140</v>
      </c>
      <c r="D81" s="76" t="str">
        <f>VLOOKUP(A:A,[1]SAP!$B$2:$B$150,1,0)</f>
        <v>29140</v>
      </c>
      <c r="E81" t="s">
        <v>534</v>
      </c>
      <c r="F81" t="str">
        <f t="shared" ca="1" si="33"/>
        <v>Copy E:\加盟账单\2019账单\2019年07月\商品\账单\模型v1.0.xlsx E:\加盟账单\2019账单\2019年07月\商品\账单\29140.xlsx</v>
      </c>
      <c r="G81" t="str">
        <f t="shared" ca="1" si="34"/>
        <v>E:\加盟账单\2019账单\2019年07月\商品\账单\29140.xlsx</v>
      </c>
      <c r="H81" t="s">
        <v>536</v>
      </c>
      <c r="I81" s="80" t="str">
        <f>VLOOKUP(B:B,Mail!D:H,5,0)</f>
        <v>1242557318@qq.com</v>
      </c>
      <c r="K81" t="b">
        <f>H81=I81</f>
        <v>1</v>
      </c>
    </row>
    <row r="82" spans="1:11" ht="15.75" thickTop="1" thickBot="1" x14ac:dyDescent="0.25">
      <c r="A82" s="45" t="s">
        <v>922</v>
      </c>
      <c r="B82" s="45" t="s">
        <v>101</v>
      </c>
      <c r="C82" s="76">
        <v>29145</v>
      </c>
      <c r="D82" s="76" t="str">
        <f>VLOOKUP(A:A,[1]SAP!$B$2:$B$150,1,0)</f>
        <v>29145</v>
      </c>
      <c r="E82" t="s">
        <v>543</v>
      </c>
      <c r="F82" t="str">
        <f t="shared" ca="1" si="33"/>
        <v>Copy E:\加盟账单\2019账单\2019年07月\商品\账单\模型v1.0.xlsx E:\加盟账单\2019账单\2019年07月\商品\账单\29145.xlsx</v>
      </c>
      <c r="G82" t="str">
        <f t="shared" ca="1" si="34"/>
        <v>E:\加盟账单\2019账单\2019年07月\商品\账单\29145.xlsx</v>
      </c>
      <c r="H82" t="s">
        <v>545</v>
      </c>
      <c r="I82" s="80" t="str">
        <f>VLOOKUP(B:B,Mail!D:H,5,0)</f>
        <v>28036147@qq.com</v>
      </c>
      <c r="K82" t="b">
        <f t="shared" ref="K82" si="42">H82=I82</f>
        <v>1</v>
      </c>
    </row>
    <row r="83" spans="1:11" ht="15.75" thickTop="1" thickBot="1" x14ac:dyDescent="0.25">
      <c r="A83" s="45" t="s">
        <v>923</v>
      </c>
      <c r="B83" s="45" t="s">
        <v>102</v>
      </c>
      <c r="C83" s="76">
        <v>29146</v>
      </c>
      <c r="D83" s="76" t="str">
        <f>VLOOKUP(A:A,[1]SAP!$B$2:$B$150,1,0)</f>
        <v>29146</v>
      </c>
      <c r="E83" t="s">
        <v>546</v>
      </c>
      <c r="F83" t="str">
        <f t="shared" ca="1" si="33"/>
        <v>Copy E:\加盟账单\2019账单\2019年07月\商品\账单\模型v1.0.xlsx E:\加盟账单\2019账单\2019年07月\商品\账单\29146.xlsx</v>
      </c>
      <c r="G83" t="str">
        <f t="shared" ca="1" si="34"/>
        <v>E:\加盟账单\2019账单\2019年07月\商品\账单\29146.xlsx</v>
      </c>
      <c r="H83" t="s">
        <v>548</v>
      </c>
      <c r="I83" s="80" t="str">
        <f>VLOOKUP(B:B,Mail!D:H,5,0)</f>
        <v>317750464@qq.com</v>
      </c>
      <c r="K83" t="b">
        <f>H83=I83</f>
        <v>1</v>
      </c>
    </row>
    <row r="84" spans="1:11" ht="15.75" thickTop="1" thickBot="1" x14ac:dyDescent="0.25">
      <c r="A84" s="45" t="s">
        <v>924</v>
      </c>
      <c r="B84" s="45" t="s">
        <v>103</v>
      </c>
      <c r="C84" s="76">
        <v>29147</v>
      </c>
      <c r="D84" s="76" t="str">
        <f>VLOOKUP(A:A,[1]SAP!$B$2:$B$150,1,0)</f>
        <v>29147</v>
      </c>
      <c r="E84" t="s">
        <v>549</v>
      </c>
      <c r="F84" t="str">
        <f t="shared" ca="1" si="33"/>
        <v>Copy E:\加盟账单\2019账单\2019年07月\商品\账单\模型v1.0.xlsx E:\加盟账单\2019账单\2019年07月\商品\账单\29147.xlsx</v>
      </c>
      <c r="G84" t="str">
        <f t="shared" ca="1" si="34"/>
        <v>E:\加盟账单\2019账单\2019年07月\商品\账单\29147.xlsx</v>
      </c>
      <c r="H84" t="s">
        <v>551</v>
      </c>
      <c r="I84" s="80" t="str">
        <f>VLOOKUP(B:B,Mail!D:H,5,0)</f>
        <v>1209852075@qq.com</v>
      </c>
      <c r="K84" t="b">
        <f t="shared" ref="K84" si="43">H84=I84</f>
        <v>1</v>
      </c>
    </row>
    <row r="85" spans="1:11" ht="15.75" thickTop="1" thickBot="1" x14ac:dyDescent="0.25">
      <c r="A85" s="45" t="s">
        <v>925</v>
      </c>
      <c r="B85" s="45" t="s">
        <v>104</v>
      </c>
      <c r="C85" s="76">
        <v>29148</v>
      </c>
      <c r="D85" s="76" t="str">
        <f>VLOOKUP(A:A,[1]SAP!$B$2:$B$150,1,0)</f>
        <v>29148</v>
      </c>
      <c r="E85" t="s">
        <v>553</v>
      </c>
      <c r="F85" t="str">
        <f t="shared" ca="1" si="33"/>
        <v>Copy E:\加盟账单\2019账单\2019年07月\商品\账单\模型v1.0.xlsx E:\加盟账单\2019账单\2019年07月\商品\账单\29148.xlsx</v>
      </c>
      <c r="G85" t="str">
        <f t="shared" ca="1" si="34"/>
        <v>E:\加盟账单\2019账单\2019年07月\商品\账单\29148.xlsx</v>
      </c>
      <c r="H85" t="s">
        <v>555</v>
      </c>
      <c r="I85" s="80" t="str">
        <f>VLOOKUP(B:B,Mail!D:H,5,0)</f>
        <v>50211562@qq.com</v>
      </c>
      <c r="K85" t="b">
        <f>H85=I85</f>
        <v>1</v>
      </c>
    </row>
    <row r="86" spans="1:11" ht="15.75" thickTop="1" thickBot="1" x14ac:dyDescent="0.25">
      <c r="A86" s="45" t="s">
        <v>926</v>
      </c>
      <c r="B86" s="45" t="s">
        <v>105</v>
      </c>
      <c r="C86" s="76">
        <v>29149</v>
      </c>
      <c r="D86" s="76" t="str">
        <f>VLOOKUP(A:A,[1]SAP!$B$2:$B$150,1,0)</f>
        <v>29149</v>
      </c>
      <c r="E86" t="s">
        <v>557</v>
      </c>
      <c r="F86" t="str">
        <f t="shared" ca="1" si="33"/>
        <v>Copy E:\加盟账单\2019账单\2019年07月\商品\账单\模型v1.0.xlsx E:\加盟账单\2019账单\2019年07月\商品\账单\29149.xlsx</v>
      </c>
      <c r="G86" t="str">
        <f t="shared" ca="1" si="34"/>
        <v>E:\加盟账单\2019账单\2019年07月\商品\账单\29149.xlsx</v>
      </c>
      <c r="H86" t="s">
        <v>559</v>
      </c>
      <c r="I86" s="80" t="str">
        <f>VLOOKUP(B:B,Mail!D:H,5,0)</f>
        <v>870802495@qq.com</v>
      </c>
      <c r="K86" t="b">
        <f t="shared" ref="K86" si="44">H86=I86</f>
        <v>1</v>
      </c>
    </row>
    <row r="87" spans="1:11" ht="15.75" thickTop="1" thickBot="1" x14ac:dyDescent="0.25">
      <c r="A87" s="45" t="s">
        <v>927</v>
      </c>
      <c r="B87" s="45" t="s">
        <v>106</v>
      </c>
      <c r="C87" s="76">
        <v>29150</v>
      </c>
      <c r="D87" s="76" t="str">
        <f>VLOOKUP(A:A,[1]SAP!$B$2:$B$150,1,0)</f>
        <v>29150</v>
      </c>
      <c r="E87" t="s">
        <v>560</v>
      </c>
      <c r="F87" t="str">
        <f t="shared" ca="1" si="33"/>
        <v>Copy E:\加盟账单\2019账单\2019年07月\商品\账单\模型v1.0.xlsx E:\加盟账单\2019账单\2019年07月\商品\账单\29150.xlsx</v>
      </c>
      <c r="G87" t="str">
        <f t="shared" ca="1" si="34"/>
        <v>E:\加盟账单\2019账单\2019年07月\商品\账单\29150.xlsx</v>
      </c>
      <c r="H87" t="s">
        <v>562</v>
      </c>
      <c r="I87" s="80" t="str">
        <f>VLOOKUP(B:B,Mail!D:H,5,0)</f>
        <v>1129442737@qq.com</v>
      </c>
      <c r="K87" t="b">
        <f>H87=I87</f>
        <v>1</v>
      </c>
    </row>
    <row r="88" spans="1:11" ht="15.75" thickTop="1" thickBot="1" x14ac:dyDescent="0.25">
      <c r="A88" s="45" t="s">
        <v>928</v>
      </c>
      <c r="B88" s="45" t="s">
        <v>107</v>
      </c>
      <c r="C88" s="76">
        <v>29151</v>
      </c>
      <c r="D88" s="76" t="str">
        <f>VLOOKUP(A:A,[1]SAP!$B$2:$B$150,1,0)</f>
        <v>29151</v>
      </c>
      <c r="E88" t="s">
        <v>563</v>
      </c>
      <c r="F88" t="str">
        <f t="shared" ca="1" si="33"/>
        <v>Copy E:\加盟账单\2019账单\2019年07月\商品\账单\模型v1.0.xlsx E:\加盟账单\2019账单\2019年07月\商品\账单\29151.xlsx</v>
      </c>
      <c r="G88" t="str">
        <f t="shared" ca="1" si="34"/>
        <v>E:\加盟账单\2019账单\2019年07月\商品\账单\29151.xlsx</v>
      </c>
      <c r="H88" t="s">
        <v>565</v>
      </c>
      <c r="I88" s="80" t="str">
        <f>VLOOKUP(B:B,Mail!D:H,5,0)</f>
        <v>1065966469@qq.com</v>
      </c>
      <c r="K88" t="b">
        <f t="shared" ref="K88" si="45">H88=I88</f>
        <v>1</v>
      </c>
    </row>
    <row r="89" spans="1:11" ht="15.75" thickTop="1" thickBot="1" x14ac:dyDescent="0.25">
      <c r="A89" s="45" t="s">
        <v>929</v>
      </c>
      <c r="B89" s="45" t="s">
        <v>109</v>
      </c>
      <c r="C89" s="76">
        <v>29153</v>
      </c>
      <c r="D89" s="76" t="str">
        <f>VLOOKUP(A:A,[1]SAP!$B$2:$B$150,1,0)</f>
        <v>29153</v>
      </c>
      <c r="E89" t="s">
        <v>568</v>
      </c>
      <c r="F89" t="str">
        <f t="shared" ca="1" si="33"/>
        <v>Copy E:\加盟账单\2019账单\2019年07月\商品\账单\模型v1.0.xlsx E:\加盟账单\2019账单\2019年07月\商品\账单\29153.xlsx</v>
      </c>
      <c r="G89" t="str">
        <f t="shared" ca="1" si="34"/>
        <v>E:\加盟账单\2019账单\2019年07月\商品\账单\29153.xlsx</v>
      </c>
      <c r="H89" t="s">
        <v>569</v>
      </c>
      <c r="I89" s="80" t="str">
        <f>VLOOKUP(B:B,Mail!D:H,5,0)</f>
        <v>1229797850@qq.com</v>
      </c>
      <c r="K89" t="b">
        <f>H89=I89</f>
        <v>1</v>
      </c>
    </row>
    <row r="90" spans="1:11" ht="15.75" thickTop="1" thickBot="1" x14ac:dyDescent="0.25">
      <c r="A90" s="45" t="s">
        <v>930</v>
      </c>
      <c r="B90" s="45" t="s">
        <v>111</v>
      </c>
      <c r="C90" s="76">
        <v>29155</v>
      </c>
      <c r="D90" s="76" t="str">
        <f>VLOOKUP(A:A,[1]SAP!$B$2:$B$150,1,0)</f>
        <v>29155</v>
      </c>
      <c r="E90" t="s">
        <v>574</v>
      </c>
      <c r="F90" t="str">
        <f t="shared" ca="1" si="33"/>
        <v>Copy E:\加盟账单\2019账单\2019年07月\商品\账单\模型v1.0.xlsx E:\加盟账单\2019账单\2019年07月\商品\账单\29155.xlsx</v>
      </c>
      <c r="G90" t="str">
        <f t="shared" ca="1" si="34"/>
        <v>E:\加盟账单\2019账单\2019年07月\商品\账单\29155.xlsx</v>
      </c>
      <c r="H90" t="s">
        <v>576</v>
      </c>
      <c r="I90" s="80" t="str">
        <f>VLOOKUP(B:B,Mail!D:H,5,0)</f>
        <v>769983213@qq.com</v>
      </c>
      <c r="K90" t="b">
        <f t="shared" ref="K90" si="46">H90=I90</f>
        <v>1</v>
      </c>
    </row>
    <row r="91" spans="1:11" ht="15.75" thickTop="1" thickBot="1" x14ac:dyDescent="0.25">
      <c r="A91" s="45" t="s">
        <v>931</v>
      </c>
      <c r="B91" s="45" t="s">
        <v>112</v>
      </c>
      <c r="C91" s="76">
        <v>29156</v>
      </c>
      <c r="D91" s="76" t="str">
        <f>VLOOKUP(A:A,[1]SAP!$B$2:$B$150,1,0)</f>
        <v>29156</v>
      </c>
      <c r="E91" t="s">
        <v>577</v>
      </c>
      <c r="F91" t="str">
        <f t="shared" ca="1" si="33"/>
        <v>Copy E:\加盟账单\2019账单\2019年07月\商品\账单\模型v1.0.xlsx E:\加盟账单\2019账单\2019年07月\商品\账单\29156.xlsx</v>
      </c>
      <c r="G91" t="str">
        <f t="shared" ca="1" si="34"/>
        <v>E:\加盟账单\2019账单\2019年07月\商品\账单\29156.xlsx</v>
      </c>
      <c r="H91" t="s">
        <v>579</v>
      </c>
      <c r="I91" s="80" t="str">
        <f>VLOOKUP(B:B,Mail!D:H,5,0)</f>
        <v>280016738@qq.com</v>
      </c>
      <c r="K91" t="b">
        <f>H91=I91</f>
        <v>1</v>
      </c>
    </row>
    <row r="92" spans="1:11" ht="15.75" thickTop="1" thickBot="1" x14ac:dyDescent="0.25">
      <c r="A92" s="45" t="s">
        <v>932</v>
      </c>
      <c r="B92" s="45" t="s">
        <v>113</v>
      </c>
      <c r="C92" s="76">
        <v>29157</v>
      </c>
      <c r="D92" s="76" t="str">
        <f>VLOOKUP(A:A,[1]SAP!$B$2:$B$150,1,0)</f>
        <v>29157</v>
      </c>
      <c r="E92" t="s">
        <v>580</v>
      </c>
      <c r="F92" t="str">
        <f t="shared" ca="1" si="33"/>
        <v>Copy E:\加盟账单\2019账单\2019年07月\商品\账单\模型v1.0.xlsx E:\加盟账单\2019账单\2019年07月\商品\账单\29157.xlsx</v>
      </c>
      <c r="G92" t="str">
        <f t="shared" ca="1" si="34"/>
        <v>E:\加盟账单\2019账单\2019年07月\商品\账单\29157.xlsx</v>
      </c>
      <c r="H92" t="s">
        <v>539</v>
      </c>
      <c r="I92" s="80" t="str">
        <f>VLOOKUP(B:B,Mail!D:H,5,0)</f>
        <v>764595041@qq.com</v>
      </c>
      <c r="K92" t="b">
        <f t="shared" ref="K92" si="47">H92=I92</f>
        <v>1</v>
      </c>
    </row>
    <row r="93" spans="1:11" ht="15.75" thickTop="1" thickBot="1" x14ac:dyDescent="0.25">
      <c r="A93" s="45" t="s">
        <v>933</v>
      </c>
      <c r="B93" s="45" t="s">
        <v>115</v>
      </c>
      <c r="C93" s="76">
        <v>29159</v>
      </c>
      <c r="D93" s="76" t="str">
        <f>VLOOKUP(A:A,[1]SAP!$B$2:$B$150,1,0)</f>
        <v>29159</v>
      </c>
      <c r="E93" t="s">
        <v>583</v>
      </c>
      <c r="F93" t="str">
        <f t="shared" ca="1" si="33"/>
        <v>Copy E:\加盟账单\2019账单\2019年07月\商品\账单\模型v1.0.xlsx E:\加盟账单\2019账单\2019年07月\商品\账单\29159.xlsx</v>
      </c>
      <c r="G93" t="str">
        <f t="shared" ca="1" si="34"/>
        <v>E:\加盟账单\2019账单\2019年07月\商品\账单\29159.xlsx</v>
      </c>
      <c r="H93" t="s">
        <v>585</v>
      </c>
      <c r="I93" s="80" t="str">
        <f>VLOOKUP(B:B,Mail!D:H,5,0)</f>
        <v>2298202998@qq.com</v>
      </c>
      <c r="K93" t="b">
        <f>H93=I93</f>
        <v>1</v>
      </c>
    </row>
    <row r="94" spans="1:11" ht="15.75" thickTop="1" thickBot="1" x14ac:dyDescent="0.25">
      <c r="A94" s="45" t="s">
        <v>934</v>
      </c>
      <c r="B94" s="45" t="s">
        <v>116</v>
      </c>
      <c r="C94" s="76">
        <v>29160</v>
      </c>
      <c r="D94" s="76" t="str">
        <f>VLOOKUP(A:A,[1]SAP!$B$2:$B$150,1,0)</f>
        <v>29160</v>
      </c>
      <c r="E94" t="s">
        <v>586</v>
      </c>
      <c r="F94" t="str">
        <f t="shared" ca="1" si="33"/>
        <v>Copy E:\加盟账单\2019账单\2019年07月\商品\账单\模型v1.0.xlsx E:\加盟账单\2019账单\2019年07月\商品\账单\29160.xlsx</v>
      </c>
      <c r="G94" t="str">
        <f t="shared" ca="1" si="34"/>
        <v>E:\加盟账单\2019账单\2019年07月\商品\账单\29160.xlsx</v>
      </c>
      <c r="H94" t="s">
        <v>588</v>
      </c>
      <c r="I94" s="80" t="str">
        <f>VLOOKUP(B:B,Mail!D:H,5,0)</f>
        <v>903739321@qq.com</v>
      </c>
      <c r="K94" t="b">
        <f t="shared" ref="K94" si="48">H94=I94</f>
        <v>1</v>
      </c>
    </row>
    <row r="95" spans="1:11" ht="15.75" thickTop="1" thickBot="1" x14ac:dyDescent="0.25">
      <c r="A95" s="45" t="s">
        <v>935</v>
      </c>
      <c r="B95" s="45" t="s">
        <v>117</v>
      </c>
      <c r="C95" s="76">
        <v>29161</v>
      </c>
      <c r="D95" s="76" t="str">
        <f>VLOOKUP(A:A,[1]SAP!$B$2:$B$150,1,0)</f>
        <v>29161</v>
      </c>
      <c r="E95" t="s">
        <v>589</v>
      </c>
      <c r="F95" t="str">
        <f t="shared" ca="1" si="33"/>
        <v>Copy E:\加盟账单\2019账单\2019年07月\商品\账单\模型v1.0.xlsx E:\加盟账单\2019账单\2019年07月\商品\账单\29161.xlsx</v>
      </c>
      <c r="G95" t="str">
        <f t="shared" ca="1" si="34"/>
        <v>E:\加盟账单\2019账单\2019年07月\商品\账单\29161.xlsx</v>
      </c>
      <c r="H95" t="s">
        <v>590</v>
      </c>
      <c r="I95" s="80" t="str">
        <f>VLOOKUP(B:B,Mail!D:H,5,0)</f>
        <v>xuanxuan20111216@163.com</v>
      </c>
      <c r="K95" t="b">
        <f>H95=I95</f>
        <v>1</v>
      </c>
    </row>
    <row r="96" spans="1:11" ht="15.75" thickTop="1" thickBot="1" x14ac:dyDescent="0.25">
      <c r="A96" s="45" t="s">
        <v>936</v>
      </c>
      <c r="B96" s="45" t="s">
        <v>118</v>
      </c>
      <c r="C96" s="76">
        <v>29162</v>
      </c>
      <c r="D96" s="76" t="str">
        <f>VLOOKUP(A:A,[1]SAP!$B$2:$B$150,1,0)</f>
        <v>29162</v>
      </c>
      <c r="E96" t="s">
        <v>591</v>
      </c>
      <c r="F96" t="str">
        <f t="shared" ca="1" si="33"/>
        <v>Copy E:\加盟账单\2019账单\2019年07月\商品\账单\模型v1.0.xlsx E:\加盟账单\2019账单\2019年07月\商品\账单\29162.xlsx</v>
      </c>
      <c r="G96" t="str">
        <f t="shared" ca="1" si="34"/>
        <v>E:\加盟账单\2019账单\2019年07月\商品\账单\29162.xlsx</v>
      </c>
      <c r="H96" t="s">
        <v>592</v>
      </c>
      <c r="I96" s="80" t="str">
        <f>VLOOKUP(B:B,Mail!D:H,5,0)</f>
        <v>发英姐微信</v>
      </c>
      <c r="K96" t="b">
        <f t="shared" ref="K96" si="49">H96=I96</f>
        <v>1</v>
      </c>
    </row>
    <row r="97" spans="1:11" ht="15.75" thickTop="1" thickBot="1" x14ac:dyDescent="0.25">
      <c r="A97" s="45" t="s">
        <v>937</v>
      </c>
      <c r="B97" s="45" t="s">
        <v>120</v>
      </c>
      <c r="C97" s="76">
        <v>29164</v>
      </c>
      <c r="D97" s="76" t="str">
        <f>VLOOKUP(A:A,[1]SAP!$B$2:$B$150,1,0)</f>
        <v>29164</v>
      </c>
      <c r="E97" t="s">
        <v>594</v>
      </c>
      <c r="F97" t="str">
        <f t="shared" ca="1" si="33"/>
        <v>Copy E:\加盟账单\2019账单\2019年07月\商品\账单\模型v1.0.xlsx E:\加盟账单\2019账单\2019年07月\商品\账单\29164.xlsx</v>
      </c>
      <c r="G97" t="str">
        <f t="shared" ca="1" si="34"/>
        <v>E:\加盟账单\2019账单\2019年07月\商品\账单\29164.xlsx</v>
      </c>
      <c r="H97" t="s">
        <v>595</v>
      </c>
      <c r="I97" s="80" t="str">
        <f>VLOOKUP(B:B,Mail!D:H,5,0)</f>
        <v>86474533@qq.com</v>
      </c>
      <c r="K97" t="b">
        <f>H97=I97</f>
        <v>1</v>
      </c>
    </row>
    <row r="98" spans="1:11" ht="15.75" thickTop="1" thickBot="1" x14ac:dyDescent="0.25">
      <c r="A98" s="45" t="s">
        <v>938</v>
      </c>
      <c r="B98" s="45" t="s">
        <v>121</v>
      </c>
      <c r="C98" s="76">
        <v>29165</v>
      </c>
      <c r="D98" s="76" t="str">
        <f>VLOOKUP(A:A,[1]SAP!$B$2:$B$150,1,0)</f>
        <v>29165</v>
      </c>
      <c r="E98" t="s">
        <v>596</v>
      </c>
      <c r="F98" t="str">
        <f t="shared" ca="1" si="33"/>
        <v>Copy E:\加盟账单\2019账单\2019年07月\商品\账单\模型v1.0.xlsx E:\加盟账单\2019账单\2019年07月\商品\账单\29165.xlsx</v>
      </c>
      <c r="G98" t="str">
        <f t="shared" ca="1" si="34"/>
        <v>E:\加盟账单\2019账单\2019年07月\商品\账单\29165.xlsx</v>
      </c>
      <c r="H98" t="s">
        <v>598</v>
      </c>
      <c r="I98" s="80" t="str">
        <f>VLOOKUP(B:B,Mail!D:H,5,0)</f>
        <v>1287064373@qq.com</v>
      </c>
      <c r="K98" t="b">
        <f t="shared" ref="K98" si="50">H98=I98</f>
        <v>1</v>
      </c>
    </row>
    <row r="99" spans="1:11" ht="15.75" thickTop="1" thickBot="1" x14ac:dyDescent="0.25">
      <c r="A99" s="45" t="s">
        <v>939</v>
      </c>
      <c r="B99" s="45" t="s">
        <v>122</v>
      </c>
      <c r="C99" s="76">
        <v>29166</v>
      </c>
      <c r="D99" s="76" t="str">
        <f>VLOOKUP(A:A,[1]SAP!$B$2:$B$150,1,0)</f>
        <v>29166</v>
      </c>
      <c r="E99" t="s">
        <v>599</v>
      </c>
      <c r="F99" t="str">
        <f t="shared" ca="1" si="33"/>
        <v>Copy E:\加盟账单\2019账单\2019年07月\商品\账单\模型v1.0.xlsx E:\加盟账单\2019账单\2019年07月\商品\账单\29166.xlsx</v>
      </c>
      <c r="G99" t="str">
        <f t="shared" ca="1" si="34"/>
        <v>E:\加盟账单\2019账单\2019年07月\商品\账单\29166.xlsx</v>
      </c>
      <c r="H99" t="s">
        <v>600</v>
      </c>
      <c r="I99" s="80" t="str">
        <f>VLOOKUP(B:B,Mail!D:H,5,0)</f>
        <v>530827867@qq.com</v>
      </c>
      <c r="K99" t="b">
        <f>H99=I99</f>
        <v>1</v>
      </c>
    </row>
    <row r="100" spans="1:11" ht="15.75" thickTop="1" thickBot="1" x14ac:dyDescent="0.25">
      <c r="A100" s="45" t="s">
        <v>940</v>
      </c>
      <c r="B100" s="45" t="s">
        <v>124</v>
      </c>
      <c r="C100" s="76">
        <v>29168</v>
      </c>
      <c r="D100" s="76" t="str">
        <f>VLOOKUP(A:A,[1]SAP!$B$2:$B$150,1,0)</f>
        <v>29168</v>
      </c>
      <c r="E100" t="s">
        <v>778</v>
      </c>
      <c r="F100" t="str">
        <f t="shared" ca="1" si="33"/>
        <v>Copy E:\加盟账单\2019账单\2019年07月\商品\账单\模型v1.0.xlsx E:\加盟账单\2019账单\2019年07月\商品\账单\29168.xlsx</v>
      </c>
      <c r="G100" t="str">
        <f t="shared" ca="1" si="34"/>
        <v>E:\加盟账单\2019账单\2019年07月\商品\账单\29168.xlsx</v>
      </c>
      <c r="H100" t="s">
        <v>601</v>
      </c>
      <c r="I100" s="80" t="str">
        <f>VLOOKUP(B:B,Mail!D:H,5,0)</f>
        <v>1250715603@qq.com</v>
      </c>
      <c r="K100" t="b">
        <f t="shared" ref="K100" si="51">H100=I100</f>
        <v>1</v>
      </c>
    </row>
    <row r="101" spans="1:11" ht="15.75" thickTop="1" thickBot="1" x14ac:dyDescent="0.25">
      <c r="A101" s="45" t="s">
        <v>941</v>
      </c>
      <c r="B101" s="45" t="s">
        <v>125</v>
      </c>
      <c r="C101" s="76">
        <v>29062</v>
      </c>
      <c r="D101" s="76" t="str">
        <f>VLOOKUP(A:A,[1]SAP!$B$2:$B$150,1,0)</f>
        <v>29062</v>
      </c>
      <c r="E101" t="s">
        <v>779</v>
      </c>
      <c r="F101" t="str">
        <f t="shared" ca="1" si="33"/>
        <v>Copy E:\加盟账单\2019账单\2019年07月\商品\账单\模型v1.0.xlsx E:\加盟账单\2019账单\2019年07月\商品\账单\29062.xlsx</v>
      </c>
      <c r="G101" t="str">
        <f t="shared" ca="1" si="34"/>
        <v>E:\加盟账单\2019账单\2019年07月\商品\账单\29062.xlsx</v>
      </c>
      <c r="H101" t="s">
        <v>603</v>
      </c>
      <c r="I101" s="80" t="str">
        <f>VLOOKUP(B:B,Mail!D:H,5,0)</f>
        <v>913135472@qq.com</v>
      </c>
      <c r="K101" t="b">
        <f>H101=I101</f>
        <v>1</v>
      </c>
    </row>
    <row r="102" spans="1:11" ht="15.75" thickTop="1" thickBot="1" x14ac:dyDescent="0.25">
      <c r="A102" s="45" t="s">
        <v>942</v>
      </c>
      <c r="B102" s="45" t="s">
        <v>126</v>
      </c>
      <c r="C102" s="76">
        <v>29064</v>
      </c>
      <c r="D102" s="76" t="str">
        <f>VLOOKUP(A:A,[1]SAP!$B$2:$B$150,1,0)</f>
        <v>29064</v>
      </c>
      <c r="E102" t="s">
        <v>780</v>
      </c>
      <c r="F102" t="str">
        <f t="shared" ca="1" si="33"/>
        <v>Copy E:\加盟账单\2019账单\2019年07月\商品\账单\模型v1.0.xlsx E:\加盟账单\2019账单\2019年07月\商品\账单\29064.xlsx</v>
      </c>
      <c r="G102" t="str">
        <f t="shared" ca="1" si="34"/>
        <v>E:\加盟账单\2019账单\2019年07月\商品\账单\29064.xlsx</v>
      </c>
      <c r="H102" t="s">
        <v>536</v>
      </c>
      <c r="I102" s="80" t="str">
        <f>VLOOKUP(B:B,Mail!D:H,5,0)</f>
        <v>1242557318@qq.com</v>
      </c>
      <c r="K102" t="b">
        <f t="shared" ref="K102" si="52">H102=I102</f>
        <v>1</v>
      </c>
    </row>
    <row r="103" spans="1:11" ht="15.75" thickTop="1" thickBot="1" x14ac:dyDescent="0.25">
      <c r="A103" s="45" t="s">
        <v>943</v>
      </c>
      <c r="B103" s="45" t="s">
        <v>127</v>
      </c>
      <c r="C103" s="76">
        <v>29060</v>
      </c>
      <c r="D103" s="76" t="str">
        <f>VLOOKUP(A:A,[1]SAP!$B$2:$B$150,1,0)</f>
        <v>29060</v>
      </c>
      <c r="E103" t="s">
        <v>781</v>
      </c>
      <c r="F103" t="str">
        <f t="shared" ca="1" si="33"/>
        <v>Copy E:\加盟账单\2019账单\2019年07月\商品\账单\模型v1.0.xlsx E:\加盟账单\2019账单\2019年07月\商品\账单\29060.xlsx</v>
      </c>
      <c r="G103" t="str">
        <f t="shared" ca="1" si="34"/>
        <v>E:\加盟账单\2019账单\2019年07月\商品\账单\29060.xlsx</v>
      </c>
      <c r="H103" t="s">
        <v>605</v>
      </c>
      <c r="I103" s="80" t="str">
        <f>VLOOKUP(B:B,Mail!D:H,5,0)</f>
        <v>747780921@qq.com</v>
      </c>
      <c r="K103" t="b">
        <f>H103=I103</f>
        <v>1</v>
      </c>
    </row>
    <row r="104" spans="1:11" ht="15.75" thickTop="1" thickBot="1" x14ac:dyDescent="0.25">
      <c r="A104" s="45" t="s">
        <v>944</v>
      </c>
      <c r="B104" s="45" t="s">
        <v>128</v>
      </c>
      <c r="C104" s="76">
        <v>29030</v>
      </c>
      <c r="D104" s="76" t="str">
        <f>VLOOKUP(A:A,[1]SAP!$B$2:$B$150,1,0)</f>
        <v>29030</v>
      </c>
      <c r="E104" t="s">
        <v>782</v>
      </c>
      <c r="F104" t="str">
        <f t="shared" ca="1" si="33"/>
        <v>Copy E:\加盟账单\2019账单\2019年07月\商品\账单\模型v1.0.xlsx E:\加盟账单\2019账单\2019年07月\商品\账单\29030.xlsx</v>
      </c>
      <c r="G104" t="str">
        <f t="shared" ca="1" si="34"/>
        <v>E:\加盟账单\2019账单\2019年07月\商品\账单\29030.xlsx</v>
      </c>
      <c r="H104" t="s">
        <v>607</v>
      </c>
      <c r="I104" s="80" t="str">
        <f>VLOOKUP(B:B,Mail!D:H,5,0)</f>
        <v>191255150@qq.com</v>
      </c>
      <c r="K104" t="b">
        <f t="shared" ref="K104" si="53">H104=I104</f>
        <v>1</v>
      </c>
    </row>
    <row r="105" spans="1:11" ht="15.75" thickTop="1" thickBot="1" x14ac:dyDescent="0.25">
      <c r="A105" s="45" t="s">
        <v>945</v>
      </c>
      <c r="B105" s="45" t="s">
        <v>129</v>
      </c>
      <c r="C105" s="76">
        <v>29002</v>
      </c>
      <c r="D105" s="76" t="str">
        <f>VLOOKUP(A:A,[1]SAP!$B$2:$B$150,1,0)</f>
        <v>29002</v>
      </c>
      <c r="E105" t="s">
        <v>783</v>
      </c>
      <c r="F105" t="str">
        <f t="shared" ca="1" si="33"/>
        <v>Copy E:\加盟账单\2019账单\2019年07月\商品\账单\模型v1.0.xlsx E:\加盟账单\2019账单\2019年07月\商品\账单\29002.xlsx</v>
      </c>
      <c r="G105" t="str">
        <f t="shared" ca="1" si="34"/>
        <v>E:\加盟账单\2019账单\2019年07月\商品\账单\29002.xlsx</v>
      </c>
      <c r="H105" t="s">
        <v>608</v>
      </c>
      <c r="I105" s="80" t="str">
        <f>VLOOKUP(B:B,Mail!D:H,5,0)</f>
        <v>451652305@qq.com</v>
      </c>
      <c r="K105" t="b">
        <f>H105=I105</f>
        <v>1</v>
      </c>
    </row>
    <row r="106" spans="1:11" ht="15.75" thickTop="1" thickBot="1" x14ac:dyDescent="0.25">
      <c r="A106" s="45" t="s">
        <v>946</v>
      </c>
      <c r="B106" s="45" t="s">
        <v>130</v>
      </c>
      <c r="C106" s="76">
        <v>29174</v>
      </c>
      <c r="D106" s="76" t="str">
        <f>VLOOKUP(A:A,[1]SAP!$B$2:$B$150,1,0)</f>
        <v>29174</v>
      </c>
      <c r="E106" t="s">
        <v>609</v>
      </c>
      <c r="F106" t="str">
        <f t="shared" ca="1" si="33"/>
        <v>Copy E:\加盟账单\2019账单\2019年07月\商品\账单\模型v1.0.xlsx E:\加盟账单\2019账单\2019年07月\商品\账单\29174.xlsx</v>
      </c>
      <c r="G106" t="str">
        <f t="shared" ca="1" si="34"/>
        <v>E:\加盟账单\2019账单\2019年07月\商品\账单\29174.xlsx</v>
      </c>
      <c r="H106" t="s">
        <v>610</v>
      </c>
      <c r="I106" s="80" t="str">
        <f>VLOOKUP(B:B,Mail!D:H,5,0)</f>
        <v>uspaiglasses@126.com</v>
      </c>
      <c r="K106" t="b">
        <f t="shared" ref="K106" si="54">H106=I106</f>
        <v>1</v>
      </c>
    </row>
    <row r="107" spans="1:11" ht="15.75" thickTop="1" thickBot="1" x14ac:dyDescent="0.25">
      <c r="A107" s="45" t="s">
        <v>947</v>
      </c>
      <c r="B107" s="45" t="s">
        <v>131</v>
      </c>
      <c r="C107" s="76">
        <v>29003</v>
      </c>
      <c r="D107" s="76" t="str">
        <f>VLOOKUP(A:A,[1]SAP!$B$2:$B$150,1,0)</f>
        <v>29003</v>
      </c>
      <c r="E107" t="s">
        <v>784</v>
      </c>
      <c r="F107" t="str">
        <f t="shared" ca="1" si="33"/>
        <v>Copy E:\加盟账单\2019账单\2019年07月\商品\账单\模型v1.0.xlsx E:\加盟账单\2019账单\2019年07月\商品\账单\29003.xlsx</v>
      </c>
      <c r="G107" t="str">
        <f t="shared" ca="1" si="34"/>
        <v>E:\加盟账单\2019账单\2019年07月\商品\账单\29003.xlsx</v>
      </c>
      <c r="H107" t="s">
        <v>612</v>
      </c>
      <c r="I107" s="80" t="str">
        <f>VLOOKUP(B:B,Mail!D:H,5,0)</f>
        <v>262982996@qq.com</v>
      </c>
      <c r="K107" t="b">
        <f>H107=I107</f>
        <v>1</v>
      </c>
    </row>
    <row r="108" spans="1:11" ht="15.75" thickTop="1" thickBot="1" x14ac:dyDescent="0.25">
      <c r="A108" s="45" t="s">
        <v>948</v>
      </c>
      <c r="B108" s="45" t="s">
        <v>132</v>
      </c>
      <c r="C108" s="76">
        <v>29176</v>
      </c>
      <c r="D108" s="76" t="str">
        <f>VLOOKUP(A:A,[1]SAP!$B$2:$B$150,1,0)</f>
        <v>29176</v>
      </c>
      <c r="E108" t="s">
        <v>613</v>
      </c>
      <c r="F108" t="str">
        <f t="shared" ca="1" si="33"/>
        <v>Copy E:\加盟账单\2019账单\2019年07月\商品\账单\模型v1.0.xlsx E:\加盟账单\2019账单\2019年07月\商品\账单\29176.xlsx</v>
      </c>
      <c r="G108" t="str">
        <f t="shared" ca="1" si="34"/>
        <v>E:\加盟账单\2019账单\2019年07月\商品\账单\29176.xlsx</v>
      </c>
      <c r="H108" t="s">
        <v>555</v>
      </c>
      <c r="I108" s="80" t="str">
        <f>VLOOKUP(B:B,Mail!D:H,5,0)</f>
        <v>50211562@qq.com</v>
      </c>
      <c r="K108" t="b">
        <f t="shared" ref="K108" si="55">H108=I108</f>
        <v>1</v>
      </c>
    </row>
    <row r="109" spans="1:11" ht="15.75" thickTop="1" thickBot="1" x14ac:dyDescent="0.25">
      <c r="A109" s="45" t="s">
        <v>949</v>
      </c>
      <c r="B109" s="45" t="s">
        <v>133</v>
      </c>
      <c r="C109" s="76">
        <v>29177</v>
      </c>
      <c r="D109" s="76" t="str">
        <f>VLOOKUP(A:A,[1]SAP!$B$2:$B$150,1,0)</f>
        <v>29177</v>
      </c>
      <c r="E109" t="s">
        <v>785</v>
      </c>
      <c r="F109" t="str">
        <f t="shared" ca="1" si="33"/>
        <v>Copy E:\加盟账单\2019账单\2019年07月\商品\账单\模型v1.0.xlsx E:\加盟账单\2019账单\2019年07月\商品\账单\29177.xlsx</v>
      </c>
      <c r="G109" t="str">
        <f t="shared" ca="1" si="34"/>
        <v>E:\加盟账单\2019账单\2019年07月\商品\账单\29177.xlsx</v>
      </c>
      <c r="H109" t="s">
        <v>615</v>
      </c>
      <c r="I109" s="80" t="str">
        <f>VLOOKUP(B:B,Mail!D:H,5,0)</f>
        <v>1059135366@qq.com</v>
      </c>
      <c r="K109" t="b">
        <f>H109=I109</f>
        <v>1</v>
      </c>
    </row>
    <row r="110" spans="1:11" ht="15.75" thickTop="1" thickBot="1" x14ac:dyDescent="0.25">
      <c r="A110" s="45" t="s">
        <v>950</v>
      </c>
      <c r="B110" s="45" t="s">
        <v>134</v>
      </c>
      <c r="C110" s="76">
        <v>29178</v>
      </c>
      <c r="D110" s="76" t="str">
        <f>VLOOKUP(A:A,[1]SAP!$B$2:$B$150,1,0)</f>
        <v>29178</v>
      </c>
      <c r="E110" t="s">
        <v>616</v>
      </c>
      <c r="F110" t="str">
        <f t="shared" ca="1" si="33"/>
        <v>Copy E:\加盟账单\2019账单\2019年07月\商品\账单\模型v1.0.xlsx E:\加盟账单\2019账单\2019年07月\商品\账单\29178.xlsx</v>
      </c>
      <c r="G110" t="str">
        <f t="shared" ca="1" si="34"/>
        <v>E:\加盟账单\2019账单\2019年07月\商品\账单\29178.xlsx</v>
      </c>
      <c r="H110" t="s">
        <v>618</v>
      </c>
      <c r="I110" s="80" t="str">
        <f>VLOOKUP(B:B,Mail!D:H,5,0)</f>
        <v>295586808@qq.com</v>
      </c>
      <c r="K110" t="b">
        <f t="shared" ref="K110" si="56">H110=I110</f>
        <v>1</v>
      </c>
    </row>
    <row r="111" spans="1:11" ht="15.75" thickTop="1" thickBot="1" x14ac:dyDescent="0.25">
      <c r="A111" s="45" t="s">
        <v>951</v>
      </c>
      <c r="B111" s="45" t="s">
        <v>135</v>
      </c>
      <c r="C111" s="76">
        <v>29179</v>
      </c>
      <c r="D111" s="76" t="str">
        <f>VLOOKUP(A:A,[1]SAP!$B$2:$B$150,1,0)</f>
        <v>29179</v>
      </c>
      <c r="E111" t="s">
        <v>786</v>
      </c>
      <c r="F111" t="str">
        <f t="shared" ca="1" si="33"/>
        <v>Copy E:\加盟账单\2019账单\2019年07月\商品\账单\模型v1.0.xlsx E:\加盟账单\2019账单\2019年07月\商品\账单\29179.xlsx</v>
      </c>
      <c r="G111" t="str">
        <f t="shared" ca="1" si="34"/>
        <v>E:\加盟账单\2019账单\2019年07月\商品\账单\29179.xlsx</v>
      </c>
      <c r="H111" t="s">
        <v>620</v>
      </c>
      <c r="I111" s="80" t="str">
        <f>VLOOKUP(B:B,Mail!D:H,5,0)</f>
        <v>2985457255@qq.com</v>
      </c>
      <c r="K111" t="b">
        <f>H111=I111</f>
        <v>1</v>
      </c>
    </row>
    <row r="112" spans="1:11" ht="15.75" thickTop="1" thickBot="1" x14ac:dyDescent="0.25">
      <c r="A112" s="45" t="s">
        <v>952</v>
      </c>
      <c r="B112" s="45" t="s">
        <v>136</v>
      </c>
      <c r="C112" s="76">
        <v>29180</v>
      </c>
      <c r="D112" s="76" t="str">
        <f>VLOOKUP(A:A,[1]SAP!$B$2:$B$150,1,0)</f>
        <v>29180</v>
      </c>
      <c r="E112" t="s">
        <v>787</v>
      </c>
      <c r="F112" t="str">
        <f t="shared" ca="1" si="33"/>
        <v>Copy E:\加盟账单\2019账单\2019年07月\商品\账单\模型v1.0.xlsx E:\加盟账单\2019账单\2019年07月\商品\账单\29180.xlsx</v>
      </c>
      <c r="G112" t="str">
        <f t="shared" ca="1" si="34"/>
        <v>E:\加盟账单\2019账单\2019年07月\商品\账单\29180.xlsx</v>
      </c>
      <c r="H112" t="s">
        <v>622</v>
      </c>
      <c r="I112" s="80" t="str">
        <f>VLOOKUP(B:B,Mail!D:H,5,0)</f>
        <v>370654859@qq.com</v>
      </c>
      <c r="K112" t="b">
        <f t="shared" ref="K112" si="57">H112=I112</f>
        <v>1</v>
      </c>
    </row>
    <row r="113" spans="1:11" ht="15.75" thickTop="1" thickBot="1" x14ac:dyDescent="0.25">
      <c r="A113" s="45" t="s">
        <v>953</v>
      </c>
      <c r="B113" s="45" t="s">
        <v>137</v>
      </c>
      <c r="C113" s="76">
        <v>29181</v>
      </c>
      <c r="D113" s="76" t="str">
        <f>VLOOKUP(A:A,[1]SAP!$B$2:$B$150,1,0)</f>
        <v>29181</v>
      </c>
      <c r="E113" t="s">
        <v>788</v>
      </c>
      <c r="F113" t="str">
        <f t="shared" ca="1" si="33"/>
        <v>Copy E:\加盟账单\2019账单\2019年07月\商品\账单\模型v1.0.xlsx E:\加盟账单\2019账单\2019年07月\商品\账单\29181.xlsx</v>
      </c>
      <c r="G113" t="str">
        <f t="shared" ca="1" si="34"/>
        <v>E:\加盟账单\2019账单\2019年07月\商品\账单\29181.xlsx</v>
      </c>
      <c r="H113" t="s">
        <v>625</v>
      </c>
      <c r="I113" s="80" t="str">
        <f>VLOOKUP(B:B,Mail!D:H,5,0)</f>
        <v>2923438191@qq.com</v>
      </c>
      <c r="K113" t="b">
        <f>H113=I113</f>
        <v>1</v>
      </c>
    </row>
    <row r="114" spans="1:11" ht="15.75" thickTop="1" thickBot="1" x14ac:dyDescent="0.25">
      <c r="A114" s="45" t="s">
        <v>954</v>
      </c>
      <c r="B114" s="45" t="s">
        <v>138</v>
      </c>
      <c r="C114" s="76">
        <v>29182</v>
      </c>
      <c r="D114" s="76" t="str">
        <f>VLOOKUP(A:A,[1]SAP!$B$2:$B$150,1,0)</f>
        <v>29182</v>
      </c>
      <c r="E114" t="s">
        <v>626</v>
      </c>
      <c r="F114" t="str">
        <f t="shared" ca="1" si="33"/>
        <v>Copy E:\加盟账单\2019账单\2019年07月\商品\账单\模型v1.0.xlsx E:\加盟账单\2019账单\2019年07月\商品\账单\29182.xlsx</v>
      </c>
      <c r="G114" t="str">
        <f t="shared" ca="1" si="34"/>
        <v>E:\加盟账单\2019账单\2019年07月\商品\账单\29182.xlsx</v>
      </c>
      <c r="H114" t="s">
        <v>200</v>
      </c>
      <c r="I114" s="80" t="str">
        <f>VLOOKUP(B:B,Mail!D:H,5,0)</f>
        <v>1534269116@qq.com</v>
      </c>
      <c r="K114" t="b">
        <f t="shared" ref="K114" si="58">H114=I114</f>
        <v>1</v>
      </c>
    </row>
    <row r="115" spans="1:11" ht="15.75" thickTop="1" thickBot="1" x14ac:dyDescent="0.25">
      <c r="A115" s="45" t="s">
        <v>955</v>
      </c>
      <c r="B115" s="45" t="s">
        <v>139</v>
      </c>
      <c r="C115" s="76">
        <v>29183</v>
      </c>
      <c r="D115" s="76" t="str">
        <f>VLOOKUP(A:A,[1]SAP!$B$2:$B$150,1,0)</f>
        <v>29183</v>
      </c>
      <c r="E115" t="s">
        <v>789</v>
      </c>
      <c r="F115" t="str">
        <f t="shared" ca="1" si="33"/>
        <v>Copy E:\加盟账单\2019账单\2019年07月\商品\账单\模型v1.0.xlsx E:\加盟账单\2019账单\2019年07月\商品\账单\29183.xlsx</v>
      </c>
      <c r="G115" t="str">
        <f t="shared" ca="1" si="34"/>
        <v>E:\加盟账单\2019账单\2019年07月\商品\账单\29183.xlsx</v>
      </c>
      <c r="H115" t="s">
        <v>771</v>
      </c>
      <c r="I115" s="80" t="str">
        <f>VLOOKUP(B:B,Mail!D:H,5,0)</f>
        <v>158827703@qq.com</v>
      </c>
      <c r="K115" t="b">
        <f>H115=I115</f>
        <v>0</v>
      </c>
    </row>
    <row r="116" spans="1:11" ht="15.75" thickTop="1" thickBot="1" x14ac:dyDescent="0.25">
      <c r="A116" s="45" t="s">
        <v>956</v>
      </c>
      <c r="B116" s="45" t="s">
        <v>140</v>
      </c>
      <c r="C116" s="76">
        <v>29184</v>
      </c>
      <c r="D116" s="76" t="str">
        <f>VLOOKUP(A:A,[1]SAP!$B$2:$B$150,1,0)</f>
        <v>29184</v>
      </c>
      <c r="E116" t="s">
        <v>629</v>
      </c>
      <c r="F116" t="str">
        <f t="shared" ca="1" si="33"/>
        <v>Copy E:\加盟账单\2019账单\2019年07月\商品\账单\模型v1.0.xlsx E:\加盟账单\2019账单\2019年07月\商品\账单\29184.xlsx</v>
      </c>
      <c r="G116" t="str">
        <f t="shared" ca="1" si="34"/>
        <v>E:\加盟账单\2019账单\2019年07月\商品\账单\29184.xlsx</v>
      </c>
      <c r="H116" t="s">
        <v>632</v>
      </c>
      <c r="I116" s="80" t="str">
        <f>VLOOKUP(B:B,Mail!D:H,5,0)</f>
        <v>597556550@qq.com</v>
      </c>
      <c r="K116" t="b">
        <f t="shared" ref="K116" si="59">H116=I116</f>
        <v>1</v>
      </c>
    </row>
    <row r="117" spans="1:11" ht="15.75" thickTop="1" thickBot="1" x14ac:dyDescent="0.25">
      <c r="A117" s="45" t="s">
        <v>957</v>
      </c>
      <c r="B117" s="45" t="s">
        <v>141</v>
      </c>
      <c r="C117" s="76">
        <v>29185</v>
      </c>
      <c r="D117" s="76" t="str">
        <f>VLOOKUP(A:A,[1]SAP!$B$2:$B$150,1,0)</f>
        <v>29185</v>
      </c>
      <c r="E117" t="s">
        <v>633</v>
      </c>
      <c r="F117" t="str">
        <f t="shared" ca="1" si="33"/>
        <v>Copy E:\加盟账单\2019账单\2019年07月\商品\账单\模型v1.0.xlsx E:\加盟账单\2019账单\2019年07月\商品\账单\29185.xlsx</v>
      </c>
      <c r="G117" t="str">
        <f t="shared" ca="1" si="34"/>
        <v>E:\加盟账单\2019账单\2019年07月\商品\账单\29185.xlsx</v>
      </c>
      <c r="H117" t="s">
        <v>636</v>
      </c>
      <c r="I117" s="80" t="str">
        <f>VLOOKUP(B:B,Mail!D:H,5,0)</f>
        <v>409260385@qq.com</v>
      </c>
      <c r="K117" t="b">
        <f>H117=I117</f>
        <v>1</v>
      </c>
    </row>
    <row r="118" spans="1:11" ht="15.75" thickTop="1" thickBot="1" x14ac:dyDescent="0.25">
      <c r="A118" s="45" t="s">
        <v>958</v>
      </c>
      <c r="B118" s="45" t="s">
        <v>142</v>
      </c>
      <c r="C118" s="76">
        <v>29186</v>
      </c>
      <c r="D118" s="76" t="str">
        <f>VLOOKUP(A:A,[1]SAP!$B$2:$B$150,1,0)</f>
        <v>29186</v>
      </c>
      <c r="E118" t="s">
        <v>637</v>
      </c>
      <c r="F118" t="str">
        <f t="shared" ca="1" si="33"/>
        <v>Copy E:\加盟账单\2019账单\2019年07月\商品\账单\模型v1.0.xlsx E:\加盟账单\2019账单\2019年07月\商品\账单\29186.xlsx</v>
      </c>
      <c r="G118" t="str">
        <f t="shared" ca="1" si="34"/>
        <v>E:\加盟账单\2019账单\2019年07月\商品\账单\29186.xlsx</v>
      </c>
      <c r="H118" t="s">
        <v>639</v>
      </c>
      <c r="I118" s="80" t="str">
        <f>VLOOKUP(B:B,Mail!D:H,5,0)</f>
        <v>834880329@qq.com</v>
      </c>
      <c r="K118" t="b">
        <f t="shared" ref="K118" si="60">H118=I118</f>
        <v>1</v>
      </c>
    </row>
    <row r="119" spans="1:11" ht="15.75" thickTop="1" thickBot="1" x14ac:dyDescent="0.25">
      <c r="A119" s="45" t="s">
        <v>959</v>
      </c>
      <c r="B119" s="45" t="s">
        <v>143</v>
      </c>
      <c r="C119" s="76">
        <v>29187</v>
      </c>
      <c r="D119" s="76" t="str">
        <f>VLOOKUP(A:A,[1]SAP!$B$2:$B$150,1,0)</f>
        <v>29187</v>
      </c>
      <c r="E119" t="s">
        <v>640</v>
      </c>
      <c r="F119" t="str">
        <f t="shared" ca="1" si="33"/>
        <v>Copy E:\加盟账单\2019账单\2019年07月\商品\账单\模型v1.0.xlsx E:\加盟账单\2019账单\2019年07月\商品\账单\29187.xlsx</v>
      </c>
      <c r="G119" t="str">
        <f t="shared" ca="1" si="34"/>
        <v>E:\加盟账单\2019账单\2019年07月\商品\账单\29187.xlsx</v>
      </c>
      <c r="H119" t="s">
        <v>389</v>
      </c>
      <c r="I119" s="80" t="str">
        <f>VLOOKUP(B:B,Mail!D:H,5,0)</f>
        <v>1009271267@qq.com</v>
      </c>
      <c r="K119" t="b">
        <f>H119=I119</f>
        <v>1</v>
      </c>
    </row>
    <row r="120" spans="1:11" ht="15.75" thickTop="1" thickBot="1" x14ac:dyDescent="0.25">
      <c r="A120" s="45" t="s">
        <v>960</v>
      </c>
      <c r="B120" s="45" t="s">
        <v>144</v>
      </c>
      <c r="C120" s="76">
        <v>29188</v>
      </c>
      <c r="D120" s="76" t="str">
        <f>VLOOKUP(A:A,[1]SAP!$B$2:$B$150,1,0)</f>
        <v>29188</v>
      </c>
      <c r="E120" t="s">
        <v>641</v>
      </c>
      <c r="F120" t="str">
        <f t="shared" ca="1" si="33"/>
        <v>Copy E:\加盟账单\2019账单\2019年07月\商品\账单\模型v1.0.xlsx E:\加盟账单\2019账单\2019年07月\商品\账单\29188.xlsx</v>
      </c>
      <c r="G120" t="str">
        <f t="shared" ca="1" si="34"/>
        <v>E:\加盟账单\2019账单\2019年07月\商品\账单\29188.xlsx</v>
      </c>
      <c r="H120" t="s">
        <v>642</v>
      </c>
      <c r="I120" s="80" t="str">
        <f>VLOOKUP(B:B,Mail!D:H,5,0)</f>
        <v>254368731@qq.com</v>
      </c>
      <c r="K120" t="b">
        <f t="shared" ref="K120" si="61">H120=I120</f>
        <v>1</v>
      </c>
    </row>
    <row r="121" spans="1:11" ht="15.75" thickTop="1" thickBot="1" x14ac:dyDescent="0.25">
      <c r="A121" s="45" t="s">
        <v>961</v>
      </c>
      <c r="B121" s="45" t="s">
        <v>145</v>
      </c>
      <c r="C121" s="76">
        <v>29189</v>
      </c>
      <c r="D121" s="76" t="str">
        <f>VLOOKUP(A:A,[1]SAP!$B$2:$B$150,1,0)</f>
        <v>29189</v>
      </c>
      <c r="E121" t="s">
        <v>643</v>
      </c>
      <c r="F121" t="str">
        <f t="shared" ca="1" si="33"/>
        <v>Copy E:\加盟账单\2019账单\2019年07月\商品\账单\模型v1.0.xlsx E:\加盟账单\2019账单\2019年07月\商品\账单\29189.xlsx</v>
      </c>
      <c r="G121" t="str">
        <f t="shared" ca="1" si="34"/>
        <v>E:\加盟账单\2019账单\2019年07月\商品\账单\29189.xlsx</v>
      </c>
      <c r="H121" t="s">
        <v>645</v>
      </c>
      <c r="I121" s="80" t="str">
        <f>VLOOKUP(B:B,Mail!D:H,5,0)</f>
        <v>lijiafei1022@126.com</v>
      </c>
      <c r="K121" t="b">
        <f>H121=I121</f>
        <v>1</v>
      </c>
    </row>
    <row r="122" spans="1:11" ht="15.75" thickTop="1" thickBot="1" x14ac:dyDescent="0.25">
      <c r="A122" s="45" t="s">
        <v>962</v>
      </c>
      <c r="B122" s="45" t="s">
        <v>146</v>
      </c>
      <c r="C122" s="76">
        <v>29190</v>
      </c>
      <c r="D122" s="76" t="str">
        <f>VLOOKUP(A:A,[1]SAP!$B$2:$B$150,1,0)</f>
        <v>29190</v>
      </c>
      <c r="E122" t="s">
        <v>790</v>
      </c>
      <c r="F122" t="str">
        <f t="shared" ca="1" si="33"/>
        <v>Copy E:\加盟账单\2019账单\2019年07月\商品\账单\模型v1.0.xlsx E:\加盟账单\2019账单\2019年07月\商品\账单\29190.xlsx</v>
      </c>
      <c r="G122" t="str">
        <f t="shared" ca="1" si="34"/>
        <v>E:\加盟账单\2019账单\2019年07月\商品\账单\29190.xlsx</v>
      </c>
      <c r="H122" t="s">
        <v>648</v>
      </c>
      <c r="I122" s="80" t="str">
        <f>VLOOKUP(B:B,Mail!D:H,5,0)</f>
        <v>1142179627@qq.com</v>
      </c>
      <c r="K122" t="b">
        <f t="shared" ref="K122" si="62">H122=I122</f>
        <v>1</v>
      </c>
    </row>
    <row r="123" spans="1:11" ht="15.75" thickTop="1" thickBot="1" x14ac:dyDescent="0.25">
      <c r="A123" s="45" t="s">
        <v>963</v>
      </c>
      <c r="B123" s="45" t="s">
        <v>147</v>
      </c>
      <c r="C123" s="76">
        <v>29191</v>
      </c>
      <c r="D123" s="76" t="str">
        <f>VLOOKUP(A:A,[1]SAP!$B$2:$B$150,1,0)</f>
        <v>29191</v>
      </c>
      <c r="E123" t="s">
        <v>649</v>
      </c>
      <c r="F123" t="str">
        <f t="shared" ca="1" si="33"/>
        <v>Copy E:\加盟账单\2019账单\2019年07月\商品\账单\模型v1.0.xlsx E:\加盟账单\2019账单\2019年07月\商品\账单\29191.xlsx</v>
      </c>
      <c r="G123" t="str">
        <f t="shared" ca="1" si="34"/>
        <v>E:\加盟账单\2019账单\2019年07月\商品\账单\29191.xlsx</v>
      </c>
      <c r="H123" t="s">
        <v>510</v>
      </c>
      <c r="I123" s="80" t="str">
        <f>VLOOKUP(B:B,Mail!D:H,5,0)</f>
        <v xml:space="preserve">361321658@qq.com </v>
      </c>
      <c r="K123" t="b">
        <f>H123=I123</f>
        <v>1</v>
      </c>
    </row>
    <row r="124" spans="1:11" ht="15.75" thickTop="1" thickBot="1" x14ac:dyDescent="0.25">
      <c r="A124" s="45" t="s">
        <v>964</v>
      </c>
      <c r="B124" s="45" t="s">
        <v>148</v>
      </c>
      <c r="C124" s="76">
        <v>29192</v>
      </c>
      <c r="D124" s="76" t="str">
        <f>VLOOKUP(A:A,[1]SAP!$B$2:$B$150,1,0)</f>
        <v>29192</v>
      </c>
      <c r="E124" t="s">
        <v>650</v>
      </c>
      <c r="F124" t="str">
        <f t="shared" ca="1" si="33"/>
        <v>Copy E:\加盟账单\2019账单\2019年07月\商品\账单\模型v1.0.xlsx E:\加盟账单\2019账单\2019年07月\商品\账单\29192.xlsx</v>
      </c>
      <c r="G124" t="str">
        <f t="shared" ca="1" si="34"/>
        <v>E:\加盟账单\2019账单\2019年07月\商品\账单\29192.xlsx</v>
      </c>
      <c r="H124" t="s">
        <v>200</v>
      </c>
      <c r="I124" s="80" t="str">
        <f>VLOOKUP(B:B,Mail!D:H,5,0)</f>
        <v>1534269116@qq.com</v>
      </c>
      <c r="K124" t="b">
        <f t="shared" ref="K124" si="63">H124=I124</f>
        <v>1</v>
      </c>
    </row>
    <row r="125" spans="1:11" ht="15.75" thickTop="1" thickBot="1" x14ac:dyDescent="0.25">
      <c r="A125" s="45" t="s">
        <v>965</v>
      </c>
      <c r="B125" s="45" t="s">
        <v>149</v>
      </c>
      <c r="C125" s="76">
        <v>29193</v>
      </c>
      <c r="D125" s="76" t="str">
        <f>VLOOKUP(A:A,[1]SAP!$B$2:$B$150,1,0)</f>
        <v>29193</v>
      </c>
      <c r="E125" t="s">
        <v>791</v>
      </c>
      <c r="F125" t="str">
        <f t="shared" ca="1" si="33"/>
        <v>Copy E:\加盟账单\2019账单\2019年07月\商品\账单\模型v1.0.xlsx E:\加盟账单\2019账单\2019年07月\商品\账单\29193.xlsx</v>
      </c>
      <c r="G125" t="str">
        <f t="shared" ca="1" si="34"/>
        <v>E:\加盟账单\2019账单\2019年07月\商品\账单\29193.xlsx</v>
      </c>
      <c r="H125" t="s">
        <v>651</v>
      </c>
      <c r="I125" s="80" t="str">
        <f>VLOOKUP(B:B,Mail!D:H,5,0)</f>
        <v>370094791@qq.com</v>
      </c>
      <c r="K125" t="b">
        <f>H125=I125</f>
        <v>1</v>
      </c>
    </row>
    <row r="126" spans="1:11" ht="15.75" thickTop="1" thickBot="1" x14ac:dyDescent="0.25">
      <c r="A126" s="45" t="s">
        <v>966</v>
      </c>
      <c r="B126" s="45" t="s">
        <v>150</v>
      </c>
      <c r="C126" s="76">
        <v>29194</v>
      </c>
      <c r="D126" s="76" t="str">
        <f>VLOOKUP(A:A,[1]SAP!$B$2:$B$150,1,0)</f>
        <v>29194</v>
      </c>
      <c r="E126" t="s">
        <v>654</v>
      </c>
      <c r="F126" t="str">
        <f t="shared" ca="1" si="33"/>
        <v>Copy E:\加盟账单\2019账单\2019年07月\商品\账单\模型v1.0.xlsx E:\加盟账单\2019账单\2019年07月\商品\账单\29194.xlsx</v>
      </c>
      <c r="G126" t="str">
        <f t="shared" ca="1" si="34"/>
        <v>E:\加盟账单\2019账单\2019年07月\商品\账单\29194.xlsx</v>
      </c>
      <c r="H126" t="s">
        <v>367</v>
      </c>
      <c r="I126" s="80" t="str">
        <f>VLOOKUP(B:B,Mail!D:H,5,0)</f>
        <v>944121463@qq.com</v>
      </c>
      <c r="K126" t="b">
        <f t="shared" ref="K126" si="64">H126=I126</f>
        <v>1</v>
      </c>
    </row>
    <row r="127" spans="1:11" ht="15.75" thickTop="1" thickBot="1" x14ac:dyDescent="0.25">
      <c r="A127" s="45" t="s">
        <v>967</v>
      </c>
      <c r="B127" s="45" t="s">
        <v>151</v>
      </c>
      <c r="C127" s="76">
        <v>29195</v>
      </c>
      <c r="D127" s="76" t="str">
        <f>VLOOKUP(A:A,[1]SAP!$B$2:$B$150,1,0)</f>
        <v>29195</v>
      </c>
      <c r="E127" t="s">
        <v>792</v>
      </c>
      <c r="F127" t="str">
        <f t="shared" ca="1" si="33"/>
        <v>Copy E:\加盟账单\2019账单\2019年07月\商品\账单\模型v1.0.xlsx E:\加盟账单\2019账单\2019年07月\商品\账单\29195.xlsx</v>
      </c>
      <c r="G127" t="str">
        <f t="shared" ca="1" si="34"/>
        <v>E:\加盟账单\2019账单\2019年07月\商品\账单\29195.xlsx</v>
      </c>
      <c r="H127" t="s">
        <v>656</v>
      </c>
      <c r="I127" s="80" t="str">
        <f>VLOOKUP(B:B,Mail!D:H,5,0)</f>
        <v>1248108496@qq.com</v>
      </c>
      <c r="K127" t="b">
        <f>H127=I127</f>
        <v>1</v>
      </c>
    </row>
    <row r="128" spans="1:11" ht="15.75" thickTop="1" thickBot="1" x14ac:dyDescent="0.25">
      <c r="A128" s="45" t="s">
        <v>968</v>
      </c>
      <c r="B128" s="45" t="s">
        <v>152</v>
      </c>
      <c r="C128" s="76">
        <v>29196</v>
      </c>
      <c r="D128" s="76" t="str">
        <f>VLOOKUP(A:A,[1]SAP!$B$2:$B$150,1,0)</f>
        <v>29196</v>
      </c>
      <c r="E128" t="s">
        <v>660</v>
      </c>
      <c r="F128" t="str">
        <f t="shared" ca="1" si="33"/>
        <v>Copy E:\加盟账单\2019账单\2019年07月\商品\账单\模型v1.0.xlsx E:\加盟账单\2019账单\2019年07月\商品\账单\29196.xlsx</v>
      </c>
      <c r="G128" t="str">
        <f t="shared" ca="1" si="34"/>
        <v>E:\加盟账单\2019账单\2019年07月\商品\账单\29196.xlsx</v>
      </c>
      <c r="H128" t="s">
        <v>662</v>
      </c>
      <c r="I128" s="80" t="str">
        <f>VLOOKUP(B:B,Mail!D:H,5,0)</f>
        <v>174420451@qq.com</v>
      </c>
      <c r="K128" t="b">
        <f t="shared" ref="K128:K132" si="65">H128=I128</f>
        <v>1</v>
      </c>
    </row>
    <row r="129" spans="1:11" ht="15.75" thickTop="1" thickBot="1" x14ac:dyDescent="0.25">
      <c r="A129" s="45" t="s">
        <v>969</v>
      </c>
      <c r="B129" s="45" t="s">
        <v>153</v>
      </c>
      <c r="C129" s="76">
        <v>29197</v>
      </c>
      <c r="D129" s="76" t="str">
        <f>VLOOKUP(A:A,[1]SAP!$B$2:$B$150,1,0)</f>
        <v>29197</v>
      </c>
      <c r="E129" t="s">
        <v>657</v>
      </c>
      <c r="F129" t="str">
        <f t="shared" ca="1" si="33"/>
        <v>Copy E:\加盟账单\2019账单\2019年07月\商品\账单\模型v1.0.xlsx E:\加盟账单\2019账单\2019年07月\商品\账单\29197.xlsx</v>
      </c>
      <c r="G129" t="str">
        <f t="shared" ca="1" si="34"/>
        <v>E:\加盟账单\2019账单\2019年07月\商品\账单\29197.xlsx</v>
      </c>
      <c r="H129" t="s">
        <v>659</v>
      </c>
      <c r="I129" s="80" t="str">
        <f>VLOOKUP(B:B,Mail!D:H,5,0)</f>
        <v>369436447@qq.com</v>
      </c>
      <c r="K129" t="b">
        <f t="shared" si="65"/>
        <v>1</v>
      </c>
    </row>
    <row r="130" spans="1:11" ht="15.75" thickTop="1" thickBot="1" x14ac:dyDescent="0.25">
      <c r="A130" s="45" t="s">
        <v>970</v>
      </c>
      <c r="B130" s="45" t="s">
        <v>154</v>
      </c>
      <c r="C130" s="76">
        <v>29198</v>
      </c>
      <c r="D130" s="76" t="str">
        <f>VLOOKUP(A:A,[1]SAP!$B$2:$B$150,1,0)</f>
        <v>29198</v>
      </c>
      <c r="E130" t="s">
        <v>663</v>
      </c>
      <c r="F130" t="str">
        <f t="shared" ca="1" si="33"/>
        <v>Copy E:\加盟账单\2019账单\2019年07月\商品\账单\模型v1.0.xlsx E:\加盟账单\2019账单\2019年07月\商品\账单\29198.xlsx</v>
      </c>
      <c r="G130" t="str">
        <f t="shared" ca="1" si="34"/>
        <v>E:\加盟账单\2019账单\2019年07月\商品\账单\29198.xlsx</v>
      </c>
      <c r="H130" t="s">
        <v>1004</v>
      </c>
      <c r="I130" s="80" t="str">
        <f>VLOOKUP(B:B,Mail!D:H,5,0)</f>
        <v>763104884@qq.com'</v>
      </c>
      <c r="K130" t="b">
        <f t="shared" si="65"/>
        <v>1</v>
      </c>
    </row>
    <row r="131" spans="1:11" ht="15.75" thickTop="1" thickBot="1" x14ac:dyDescent="0.25">
      <c r="A131" s="45" t="s">
        <v>971</v>
      </c>
      <c r="B131" s="45" t="s">
        <v>155</v>
      </c>
      <c r="C131" s="76">
        <v>29199</v>
      </c>
      <c r="D131" s="76" t="str">
        <f>VLOOKUP(A:A,[1]SAP!$B$2:$B$150,1,0)</f>
        <v>29199</v>
      </c>
      <c r="E131" t="s">
        <v>793</v>
      </c>
      <c r="F131" t="str">
        <f t="shared" ref="F131:F153" ca="1" si="66">"Copy "&amp;$I$2&amp;"模型v1.0.xlsx "&amp;$I$2&amp;""&amp;A131&amp;".xlsx"</f>
        <v>Copy E:\加盟账单\2019账单\2019年07月\商品\账单\模型v1.0.xlsx E:\加盟账单\2019账单\2019年07月\商品\账单\29199.xlsx</v>
      </c>
      <c r="G131" t="str">
        <f t="shared" ref="G131:G153" ca="1" si="67">$I$2&amp;""&amp;A131&amp;".xlsx"</f>
        <v>E:\加盟账单\2019账单\2019年07月\商品\账单\29199.xlsx</v>
      </c>
      <c r="H131" t="s">
        <v>763</v>
      </c>
      <c r="I131" s="80" t="str">
        <f>VLOOKUP(B:B,Mail!D:H,5,0)</f>
        <v>3269193779@qq.com</v>
      </c>
      <c r="K131" t="b">
        <f t="shared" si="65"/>
        <v>1</v>
      </c>
    </row>
    <row r="132" spans="1:11" ht="15.75" thickTop="1" thickBot="1" x14ac:dyDescent="0.25">
      <c r="A132" s="45" t="s">
        <v>972</v>
      </c>
      <c r="B132" s="45" t="s">
        <v>156</v>
      </c>
      <c r="C132" s="76">
        <v>29200</v>
      </c>
      <c r="D132" s="76" t="str">
        <f>VLOOKUP(A:A,[1]SAP!$B$2:$B$150,1,0)</f>
        <v>29200</v>
      </c>
      <c r="E132" t="s">
        <v>794</v>
      </c>
      <c r="F132" t="str">
        <f t="shared" ca="1" si="66"/>
        <v>Copy E:\加盟账单\2019账单\2019年07月\商品\账单\模型v1.0.xlsx E:\加盟账单\2019账单\2019年07月\商品\账单\29200.xlsx</v>
      </c>
      <c r="G132" t="str">
        <f t="shared" ca="1" si="67"/>
        <v>E:\加盟账单\2019账单\2019年07月\商品\账单\29200.xlsx</v>
      </c>
      <c r="H132" t="s">
        <v>539</v>
      </c>
      <c r="I132" s="80" t="str">
        <f>VLOOKUP(B:B,Mail!D:H,5,0)</f>
        <v>764595041@qq.com</v>
      </c>
      <c r="K132" t="b">
        <f t="shared" si="65"/>
        <v>1</v>
      </c>
    </row>
    <row r="133" spans="1:11" ht="15.75" thickTop="1" thickBot="1" x14ac:dyDescent="0.25">
      <c r="A133" s="45" t="s">
        <v>973</v>
      </c>
      <c r="B133" s="45" t="s">
        <v>157</v>
      </c>
      <c r="C133" s="76">
        <v>29201</v>
      </c>
      <c r="D133" s="76" t="str">
        <f>VLOOKUP(A:A,[1]SAP!$B$2:$B$150,1,0)</f>
        <v>29201</v>
      </c>
      <c r="E133" t="s">
        <v>795</v>
      </c>
      <c r="F133" t="str">
        <f t="shared" ca="1" si="66"/>
        <v>Copy E:\加盟账单\2019账单\2019年07月\商品\账单\模型v1.0.xlsx E:\加盟账单\2019账单\2019年07月\商品\账单\29201.xlsx</v>
      </c>
      <c r="G133" t="str">
        <f t="shared" ca="1" si="67"/>
        <v>E:\加盟账单\2019账单\2019年07月\商品\账单\29201.xlsx</v>
      </c>
      <c r="H133" t="s">
        <v>451</v>
      </c>
      <c r="I133" s="80" t="str">
        <f>VLOOKUP(B:B,Mail!D:H,5,0)</f>
        <v>2981894020@qq.com</v>
      </c>
      <c r="K133" t="b">
        <f>H133=I133</f>
        <v>1</v>
      </c>
    </row>
    <row r="134" spans="1:11" ht="15.75" thickTop="1" thickBot="1" x14ac:dyDescent="0.25">
      <c r="A134" s="45" t="s">
        <v>974</v>
      </c>
      <c r="B134" s="45" t="s">
        <v>158</v>
      </c>
      <c r="C134" s="76">
        <v>29202</v>
      </c>
      <c r="D134" s="76" t="str">
        <f>VLOOKUP(A:A,[1]SAP!$B$2:$B$150,1,0)</f>
        <v>29202</v>
      </c>
      <c r="E134" t="s">
        <v>758</v>
      </c>
      <c r="F134" t="str">
        <f t="shared" ca="1" si="66"/>
        <v>Copy E:\加盟账单\2019账单\2019年07月\商品\账单\模型v1.0.xlsx E:\加盟账单\2019账单\2019年07月\商品\账单\29202.xlsx</v>
      </c>
      <c r="G134" t="str">
        <f t="shared" ca="1" si="67"/>
        <v>E:\加盟账单\2019账单\2019年07月\商品\账单\29202.xlsx</v>
      </c>
      <c r="H134" t="s">
        <v>666</v>
      </c>
      <c r="I134" s="80" t="str">
        <f>VLOOKUP(B:B,Mail!D:H,5,0)</f>
        <v>2511468765@qq.com</v>
      </c>
      <c r="K134" t="b">
        <f t="shared" ref="K134:K142" si="68">H134=I134</f>
        <v>1</v>
      </c>
    </row>
    <row r="135" spans="1:11" ht="15.75" thickTop="1" thickBot="1" x14ac:dyDescent="0.25">
      <c r="A135" s="45" t="s">
        <v>975</v>
      </c>
      <c r="B135" s="45" t="s">
        <v>159</v>
      </c>
      <c r="C135" s="76">
        <v>29203</v>
      </c>
      <c r="D135" s="76" t="str">
        <f>VLOOKUP(A:A,[1]SAP!$B$2:$B$150,1,0)</f>
        <v>29203</v>
      </c>
      <c r="E135" t="s">
        <v>760</v>
      </c>
      <c r="F135" t="str">
        <f t="shared" ca="1" si="66"/>
        <v>Copy E:\加盟账单\2019账单\2019年07月\商品\账单\模型v1.0.xlsx E:\加盟账单\2019账单\2019年07月\商品\账单\29203.xlsx</v>
      </c>
      <c r="G135" t="str">
        <f t="shared" ca="1" si="67"/>
        <v>E:\加盟账单\2019账单\2019年07月\商品\账单\29203.xlsx</v>
      </c>
      <c r="H135" t="s">
        <v>764</v>
      </c>
      <c r="I135" s="80" t="str">
        <f>VLOOKUP(B:B,Mail!D:H,5,0)</f>
        <v>853260288@qq.com</v>
      </c>
      <c r="K135" t="b">
        <f t="shared" si="68"/>
        <v>1</v>
      </c>
    </row>
    <row r="136" spans="1:11" ht="15.75" thickTop="1" thickBot="1" x14ac:dyDescent="0.25">
      <c r="A136" s="45" t="s">
        <v>976</v>
      </c>
      <c r="B136" s="45" t="s">
        <v>766</v>
      </c>
      <c r="C136" s="76">
        <v>29204</v>
      </c>
      <c r="D136" s="76" t="str">
        <f>VLOOKUP(A:A,[1]SAP!$B$2:$B$150,1,0)</f>
        <v>29204</v>
      </c>
      <c r="E136" t="s">
        <v>796</v>
      </c>
      <c r="F136" t="str">
        <f t="shared" ca="1" si="66"/>
        <v>Copy E:\加盟账单\2019账单\2019年07月\商品\账单\模型v1.0.xlsx E:\加盟账单\2019账单\2019年07月\商品\账单\29204.xlsx</v>
      </c>
      <c r="G136" t="str">
        <f t="shared" ca="1" si="67"/>
        <v>E:\加盟账单\2019账单\2019年07月\商品\账单\29204.xlsx</v>
      </c>
      <c r="H136" t="s">
        <v>772</v>
      </c>
      <c r="I136" s="80" t="str">
        <f>VLOOKUP(B:B,Mail!D:H,5,0)</f>
        <v>1825528626@qq.com</v>
      </c>
      <c r="K136" t="b">
        <f t="shared" si="68"/>
        <v>0</v>
      </c>
    </row>
    <row r="137" spans="1:11" ht="15.75" thickTop="1" thickBot="1" x14ac:dyDescent="0.25">
      <c r="A137" s="45" t="s">
        <v>977</v>
      </c>
      <c r="B137" s="45" t="s">
        <v>767</v>
      </c>
      <c r="C137" s="76">
        <v>29205</v>
      </c>
      <c r="D137" s="76" t="str">
        <f>VLOOKUP(A:A,[1]SAP!$B$2:$B$150,1,0)</f>
        <v>29205</v>
      </c>
      <c r="E137" t="s">
        <v>797</v>
      </c>
      <c r="F137" t="str">
        <f t="shared" ca="1" si="66"/>
        <v>Copy E:\加盟账单\2019账单\2019年07月\商品\账单\模型v1.0.xlsx E:\加盟账单\2019账单\2019年07月\商品\账单\29205.xlsx</v>
      </c>
      <c r="G137" t="str">
        <f t="shared" ca="1" si="67"/>
        <v>E:\加盟账单\2019账单\2019年07月\商品\账单\29205.xlsx</v>
      </c>
      <c r="H137" t="s">
        <v>801</v>
      </c>
      <c r="I137" s="80" t="str">
        <f>VLOOKUP(B:B,Mail!D:H,5,0)</f>
        <v xml:space="preserve">931890968@qq.com </v>
      </c>
      <c r="K137" t="b">
        <f t="shared" si="68"/>
        <v>0</v>
      </c>
    </row>
    <row r="138" spans="1:11" ht="15.75" thickTop="1" thickBot="1" x14ac:dyDescent="0.25">
      <c r="A138" s="45" t="s">
        <v>978</v>
      </c>
      <c r="B138" s="45" t="s">
        <v>768</v>
      </c>
      <c r="C138" s="76">
        <v>29206</v>
      </c>
      <c r="D138" s="76" t="str">
        <f>VLOOKUP(A:A,[1]SAP!$B$2:$B$150,1,0)</f>
        <v>29206</v>
      </c>
      <c r="E138" t="s">
        <v>798</v>
      </c>
      <c r="F138" t="str">
        <f t="shared" ca="1" si="66"/>
        <v>Copy E:\加盟账单\2019账单\2019年07月\商品\账单\模型v1.0.xlsx E:\加盟账单\2019账单\2019年07月\商品\账单\29206.xlsx</v>
      </c>
      <c r="G138" t="str">
        <f t="shared" ca="1" si="67"/>
        <v>E:\加盟账单\2019账单\2019年07月\商品\账单\29206.xlsx</v>
      </c>
      <c r="H138" s="46" t="s">
        <v>802</v>
      </c>
      <c r="I138" s="80" t="str">
        <f>VLOOKUP(B:B,Mail!D:H,5,0)</f>
        <v>77438078@qq.com</v>
      </c>
      <c r="K138" t="b">
        <f t="shared" si="68"/>
        <v>0</v>
      </c>
    </row>
    <row r="139" spans="1:11" ht="15.75" thickTop="1" thickBot="1" x14ac:dyDescent="0.25">
      <c r="A139" s="45" t="s">
        <v>979</v>
      </c>
      <c r="B139" s="45" t="s">
        <v>769</v>
      </c>
      <c r="C139" s="76">
        <v>29207</v>
      </c>
      <c r="D139" s="76" t="str">
        <f>VLOOKUP(A:A,[1]SAP!$B$2:$B$150,1,0)</f>
        <v>29207</v>
      </c>
      <c r="E139" t="s">
        <v>799</v>
      </c>
      <c r="F139" t="str">
        <f t="shared" ca="1" si="66"/>
        <v>Copy E:\加盟账单\2019账单\2019年07月\商品\账单\模型v1.0.xlsx E:\加盟账单\2019账单\2019年07月\商品\账单\29207.xlsx</v>
      </c>
      <c r="G139" t="str">
        <f t="shared" ca="1" si="67"/>
        <v>E:\加盟账单\2019账单\2019年07月\商品\账单\29207.xlsx</v>
      </c>
      <c r="H139" t="s">
        <v>774</v>
      </c>
      <c r="I139" s="80" t="str">
        <f>VLOOKUP(B:B,Mail!D:H,5,0)</f>
        <v>1851792712@qq.com</v>
      </c>
      <c r="K139" t="b">
        <f t="shared" si="68"/>
        <v>0</v>
      </c>
    </row>
    <row r="140" spans="1:11" ht="15.75" thickTop="1" thickBot="1" x14ac:dyDescent="0.25">
      <c r="A140" s="45" t="s">
        <v>980</v>
      </c>
      <c r="B140" s="45" t="s">
        <v>770</v>
      </c>
      <c r="C140" s="76">
        <v>29208</v>
      </c>
      <c r="D140" s="76" t="str">
        <f>VLOOKUP(A:A,[1]SAP!$B$2:$B$150,1,0)</f>
        <v>29208</v>
      </c>
      <c r="E140" t="s">
        <v>800</v>
      </c>
      <c r="F140" t="str">
        <f t="shared" ca="1" si="66"/>
        <v>Copy E:\加盟账单\2019账单\2019年07月\商品\账单\模型v1.0.xlsx E:\加盟账单\2019账单\2019年07月\商品\账单\29208.xlsx</v>
      </c>
      <c r="G140" t="str">
        <f t="shared" ca="1" si="67"/>
        <v>E:\加盟账单\2019账单\2019年07月\商品\账单\29208.xlsx</v>
      </c>
      <c r="H140" t="s">
        <v>773</v>
      </c>
      <c r="I140" s="80" t="str">
        <f>VLOOKUP(B:B,Mail!D:H,5,0)</f>
        <v>丁巧先微信</v>
      </c>
      <c r="K140" t="b">
        <f t="shared" si="68"/>
        <v>0</v>
      </c>
    </row>
    <row r="141" spans="1:11" ht="15.75" thickTop="1" thickBot="1" x14ac:dyDescent="0.25">
      <c r="A141" s="45" t="s">
        <v>981</v>
      </c>
      <c r="B141" s="45" t="s">
        <v>160</v>
      </c>
      <c r="C141" s="76">
        <v>29216</v>
      </c>
      <c r="D141" s="76" t="str">
        <f>VLOOKUP(A:A,[1]SAP!$B$2:$B$150,1,0)</f>
        <v>29216</v>
      </c>
      <c r="E141" t="s">
        <v>652</v>
      </c>
      <c r="F141" t="str">
        <f t="shared" ca="1" si="66"/>
        <v>Copy E:\加盟账单\2019账单\2019年07月\商品\账单\模型v1.0.xlsx E:\加盟账单\2019账单\2019年07月\商品\账单\29216.xlsx</v>
      </c>
      <c r="G141" t="str">
        <f t="shared" ca="1" si="67"/>
        <v>E:\加盟账单\2019账单\2019年07月\商品\账单\29216.xlsx</v>
      </c>
      <c r="H141" t="s">
        <v>517</v>
      </c>
      <c r="I141" s="80" t="str">
        <f>VLOOKUP(B:B,Mail!D:H,5,0)</f>
        <v>1965672295@qq.com</v>
      </c>
      <c r="K141" t="b">
        <f t="shared" si="68"/>
        <v>1</v>
      </c>
    </row>
    <row r="142" spans="1:11" ht="15.75" thickTop="1" thickBot="1" x14ac:dyDescent="0.25">
      <c r="A142" s="45" t="s">
        <v>982</v>
      </c>
      <c r="B142" s="45" t="s">
        <v>807</v>
      </c>
      <c r="C142" s="76">
        <v>29209</v>
      </c>
      <c r="D142" s="76" t="str">
        <f>VLOOKUP(A:A,[1]SAP!$B$2:$B$150,1,0)</f>
        <v>29209</v>
      </c>
      <c r="E142" t="s">
        <v>803</v>
      </c>
      <c r="F142" t="str">
        <f t="shared" ca="1" si="66"/>
        <v>Copy E:\加盟账单\2019账单\2019年07月\商品\账单\模型v1.0.xlsx E:\加盟账单\2019账单\2019年07月\商品\账单\29209.xlsx</v>
      </c>
      <c r="G142" t="str">
        <f t="shared" ca="1" si="67"/>
        <v>E:\加盟账单\2019账单\2019年07月\商品\账单\29209.xlsx</v>
      </c>
      <c r="H142" t="s">
        <v>804</v>
      </c>
      <c r="I142" s="80" t="str">
        <f>VLOOKUP(B:B,Mail!D:H,5,0)</f>
        <v>2135029726@qq.com</v>
      </c>
      <c r="K142" t="b">
        <f t="shared" si="68"/>
        <v>1</v>
      </c>
    </row>
    <row r="143" spans="1:11" ht="15.75" thickTop="1" thickBot="1" x14ac:dyDescent="0.25">
      <c r="A143" s="45" t="s">
        <v>983</v>
      </c>
      <c r="B143" s="45" t="s">
        <v>810</v>
      </c>
      <c r="C143" s="76">
        <v>29212</v>
      </c>
      <c r="D143" s="76" t="str">
        <f>VLOOKUP(A:A,[1]SAP!$B$2:$B$150,1,0)</f>
        <v>29212</v>
      </c>
      <c r="E143" t="s">
        <v>811</v>
      </c>
      <c r="F143" t="str">
        <f t="shared" ca="1" si="66"/>
        <v>Copy E:\加盟账单\2019账单\2019年07月\商品\账单\模型v1.0.xlsx E:\加盟账单\2019账单\2019年07月\商品\账单\29212.xlsx</v>
      </c>
      <c r="G143" t="str">
        <f t="shared" ca="1" si="67"/>
        <v>E:\加盟账单\2019账单\2019年07月\商品\账单\29212.xlsx</v>
      </c>
      <c r="H143" t="s">
        <v>812</v>
      </c>
      <c r="I143" s="80" t="str">
        <f>VLOOKUP(B:B,Mail!D:H,5,0)</f>
        <v>949404116@qq.com</v>
      </c>
      <c r="K143" t="b">
        <f>H143=I143</f>
        <v>1</v>
      </c>
    </row>
    <row r="144" spans="1:11" ht="15.75" thickTop="1" thickBot="1" x14ac:dyDescent="0.25">
      <c r="A144" s="45" t="s">
        <v>984</v>
      </c>
      <c r="B144" s="45" t="s">
        <v>813</v>
      </c>
      <c r="C144" s="76">
        <v>29213</v>
      </c>
      <c r="D144" s="76" t="str">
        <f>VLOOKUP(A:A,[1]SAP!$B$2:$B$150,1,0)</f>
        <v>29213</v>
      </c>
      <c r="E144" t="s">
        <v>814</v>
      </c>
      <c r="F144" t="str">
        <f t="shared" ca="1" si="66"/>
        <v>Copy E:\加盟账单\2019账单\2019年07月\商品\账单\模型v1.0.xlsx E:\加盟账单\2019账单\2019年07月\商品\账单\29213.xlsx</v>
      </c>
      <c r="G144" t="str">
        <f t="shared" ca="1" si="67"/>
        <v>E:\加盟账单\2019账单\2019年07月\商品\账单\29213.xlsx</v>
      </c>
      <c r="H144" t="s">
        <v>815</v>
      </c>
      <c r="I144" s="80" t="str">
        <f>VLOOKUP(B:B,Mail!D:H,5,0)</f>
        <v>891497490@qq.com</v>
      </c>
      <c r="K144" t="b">
        <f t="shared" ref="K144" si="69">H144=I144</f>
        <v>1</v>
      </c>
    </row>
    <row r="145" spans="1:11" ht="15.75" thickTop="1" thickBot="1" x14ac:dyDescent="0.25">
      <c r="A145" s="45" t="s">
        <v>985</v>
      </c>
      <c r="B145" s="77" t="s">
        <v>824</v>
      </c>
      <c r="C145" s="76">
        <v>29215</v>
      </c>
      <c r="D145" s="76" t="str">
        <f>VLOOKUP(A:A,[1]SAP!$B$2:$B$150,1,0)</f>
        <v>29215</v>
      </c>
      <c r="E145" s="55" t="s">
        <v>817</v>
      </c>
      <c r="F145" t="str">
        <f t="shared" ca="1" si="66"/>
        <v>Copy E:\加盟账单\2019账单\2019年07月\商品\账单\模型v1.0.xlsx E:\加盟账单\2019账单\2019年07月\商品\账单\29215.xlsx</v>
      </c>
      <c r="G145" t="str">
        <f t="shared" ca="1" si="67"/>
        <v>E:\加盟账单\2019账单\2019年07月\商品\账单\29215.xlsx</v>
      </c>
      <c r="H145" t="s">
        <v>569</v>
      </c>
      <c r="I145" s="80" t="str">
        <f>VLOOKUP(B:B,Mail!D:H,5,0)</f>
        <v>1229797850@qq.com</v>
      </c>
      <c r="K145" t="b">
        <f>H145=I145</f>
        <v>1</v>
      </c>
    </row>
    <row r="146" spans="1:11" ht="15.75" thickTop="1" thickBot="1" x14ac:dyDescent="0.25">
      <c r="A146" s="45" t="s">
        <v>986</v>
      </c>
      <c r="B146" s="78" t="s">
        <v>825</v>
      </c>
      <c r="C146" s="76">
        <v>29214</v>
      </c>
      <c r="D146" s="76" t="str">
        <f>VLOOKUP(A:A,[1]SAP!$B$2:$B$150,1,0)</f>
        <v>29214</v>
      </c>
      <c r="E146" s="56" t="s">
        <v>819</v>
      </c>
      <c r="F146" t="str">
        <f t="shared" ca="1" si="66"/>
        <v>Copy E:\加盟账单\2019账单\2019年07月\商品\账单\模型v1.0.xlsx E:\加盟账单\2019账单\2019年07月\商品\账单\29214.xlsx</v>
      </c>
      <c r="G146" t="str">
        <f t="shared" ca="1" si="67"/>
        <v>E:\加盟账单\2019账单\2019年07月\商品\账单\29214.xlsx</v>
      </c>
      <c r="H146" t="s">
        <v>1001</v>
      </c>
      <c r="I146" s="80" t="str">
        <f>VLOOKUP(B:B,Mail!D:H,5,0)</f>
        <v>794674985@qq.com</v>
      </c>
      <c r="K146" t="b">
        <f t="shared" ref="K146" si="70">H146=I146</f>
        <v>1</v>
      </c>
    </row>
    <row r="147" spans="1:11" ht="15.75" thickTop="1" thickBot="1" x14ac:dyDescent="0.25">
      <c r="A147" s="45" t="s">
        <v>987</v>
      </c>
      <c r="B147" s="77" t="s">
        <v>826</v>
      </c>
      <c r="C147" s="76">
        <v>29217</v>
      </c>
      <c r="D147" s="76" t="str">
        <f>VLOOKUP(A:A,[1]SAP!$B$2:$B$150,1,0)</f>
        <v>29217</v>
      </c>
      <c r="E147" s="55" t="s">
        <v>821</v>
      </c>
      <c r="F147" t="str">
        <f t="shared" ca="1" si="66"/>
        <v>Copy E:\加盟账单\2019账单\2019年07月\商品\账单\模型v1.0.xlsx E:\加盟账单\2019账单\2019年07月\商品\账单\29217.xlsx</v>
      </c>
      <c r="G147" t="str">
        <f t="shared" ca="1" si="67"/>
        <v>E:\加盟账单\2019账单\2019年07月\商品\账单\29217.xlsx</v>
      </c>
      <c r="H147" t="s">
        <v>1002</v>
      </c>
      <c r="I147" s="80" t="str">
        <f>VLOOKUP(B:B,Mail!D:H,5,0)</f>
        <v>277478307@qq.com</v>
      </c>
      <c r="K147" t="b">
        <f>H147=I147</f>
        <v>1</v>
      </c>
    </row>
    <row r="148" spans="1:11" ht="15.75" thickTop="1" thickBot="1" x14ac:dyDescent="0.25">
      <c r="A148" s="45" t="s">
        <v>839</v>
      </c>
      <c r="B148" s="45" t="s">
        <v>839</v>
      </c>
      <c r="C148" s="76">
        <v>29218</v>
      </c>
      <c r="D148" s="76" t="str">
        <f>VLOOKUP(A:A,[1]SAP!$B$2:$B$150,1,0)</f>
        <v>29218</v>
      </c>
      <c r="E148" t="s">
        <v>829</v>
      </c>
      <c r="F148" t="str">
        <f t="shared" ca="1" si="66"/>
        <v>Copy E:\加盟账单\2019账单\2019年07月\商品\账单\模型v1.0.xlsx E:\加盟账单\2019账单\2019年07月\商品\账单\29218.xlsx</v>
      </c>
      <c r="G148" t="str">
        <f t="shared" ca="1" si="67"/>
        <v>E:\加盟账单\2019账单\2019年07月\商品\账单\29218.xlsx</v>
      </c>
      <c r="H148" t="s">
        <v>838</v>
      </c>
      <c r="I148" s="80" t="e">
        <f>VLOOKUP(B:B,Mail!D:H,5,0)</f>
        <v>#N/A</v>
      </c>
      <c r="K148" t="e">
        <f t="shared" ref="K148" si="71">H148=I148</f>
        <v>#N/A</v>
      </c>
    </row>
    <row r="149" spans="1:11" ht="15.75" thickTop="1" thickBot="1" x14ac:dyDescent="0.25">
      <c r="A149" s="45" t="s">
        <v>840</v>
      </c>
      <c r="B149" s="45" t="s">
        <v>840</v>
      </c>
      <c r="C149" s="76">
        <v>29219</v>
      </c>
      <c r="D149" s="76" t="str">
        <f>VLOOKUP(A:A,[1]SAP!$B$2:$B$150,1,0)</f>
        <v>29219</v>
      </c>
      <c r="E149" s="48" t="s">
        <v>832</v>
      </c>
      <c r="F149" s="48" t="str">
        <f t="shared" ca="1" si="66"/>
        <v>Copy E:\加盟账单\2019账单\2019年07月\商品\账单\模型v1.0.xlsx E:\加盟账单\2019账单\2019年07月\商品\账单\29219.xlsx</v>
      </c>
      <c r="G149" s="48" t="str">
        <f t="shared" ca="1" si="67"/>
        <v>E:\加盟账单\2019账单\2019年07月\商品\账单\29219.xlsx</v>
      </c>
      <c r="H149" s="79" t="s">
        <v>838</v>
      </c>
      <c r="I149" s="80" t="e">
        <f>VLOOKUP(B:B,Mail!D:H,5,0)</f>
        <v>#N/A</v>
      </c>
      <c r="K149" t="e">
        <f>H149=I149</f>
        <v>#N/A</v>
      </c>
    </row>
    <row r="150" spans="1:11" ht="15.75" thickTop="1" thickBot="1" x14ac:dyDescent="0.25">
      <c r="A150" s="45" t="s">
        <v>993</v>
      </c>
      <c r="B150" s="45" t="s">
        <v>993</v>
      </c>
      <c r="E150" t="e">
        <v>#N/A</v>
      </c>
      <c r="F150" t="str">
        <f t="shared" ca="1" si="66"/>
        <v>Copy E:\加盟账单\2019账单\2019年07月\商品\账单\模型v1.0.xlsx E:\加盟账单\2019账单\2019年07月\商品\账单\29171.xlsx</v>
      </c>
      <c r="G150" t="str">
        <f t="shared" ca="1" si="67"/>
        <v>E:\加盟账单\2019账单\2019年07月\商品\账单\29171.xlsx</v>
      </c>
      <c r="H150" t="s">
        <v>605</v>
      </c>
      <c r="I150" s="80" t="e">
        <f>VLOOKUP(B:B,Mail!D:H,5,0)</f>
        <v>#N/A</v>
      </c>
      <c r="K150" t="e">
        <f t="shared" ref="K150" si="72">H150=I150</f>
        <v>#N/A</v>
      </c>
    </row>
    <row r="151" spans="1:11" ht="15.75" thickTop="1" thickBot="1" x14ac:dyDescent="0.25">
      <c r="A151" s="45" t="s">
        <v>990</v>
      </c>
      <c r="B151" s="45" t="s">
        <v>990</v>
      </c>
      <c r="E151" t="s">
        <v>994</v>
      </c>
      <c r="F151" t="str">
        <f t="shared" ca="1" si="66"/>
        <v>Copy E:\加盟账单\2019账单\2019年07月\商品\账单\模型v1.0.xlsx E:\加盟账单\2019账单\2019年07月\商品\账单\29220.xlsx</v>
      </c>
      <c r="G151" t="str">
        <f t="shared" ca="1" si="67"/>
        <v>E:\加盟账单\2019账单\2019年07月\商品\账单\29220.xlsx</v>
      </c>
      <c r="H151" s="46" t="s">
        <v>997</v>
      </c>
      <c r="I151" s="80" t="str">
        <f>VLOOKUP(B:B,Mail!D:H,5,0)</f>
        <v>254368731@qq.com</v>
      </c>
      <c r="K151" t="b">
        <f>H151=I151</f>
        <v>1</v>
      </c>
    </row>
    <row r="152" spans="1:11" ht="15.75" thickTop="1" thickBot="1" x14ac:dyDescent="0.25">
      <c r="A152" s="45" t="s">
        <v>991</v>
      </c>
      <c r="B152" s="45" t="s">
        <v>991</v>
      </c>
      <c r="E152" t="s">
        <v>995</v>
      </c>
      <c r="F152" t="str">
        <f t="shared" ca="1" si="66"/>
        <v>Copy E:\加盟账单\2019账单\2019年07月\商品\账单\模型v1.0.xlsx E:\加盟账单\2019账单\2019年07月\商品\账单\29221.xlsx</v>
      </c>
      <c r="G152" t="str">
        <f t="shared" ca="1" si="67"/>
        <v>E:\加盟账单\2019账单\2019年07月\商品\账单\29221.xlsx</v>
      </c>
      <c r="H152" s="46" t="s">
        <v>1000</v>
      </c>
      <c r="I152" s="80" t="e">
        <f>VLOOKUP(B:B,Mail!D:H,5,0)</f>
        <v>#N/A</v>
      </c>
      <c r="K152" t="e">
        <f t="shared" ref="K152" si="73">H152=I152</f>
        <v>#N/A</v>
      </c>
    </row>
    <row r="153" spans="1:11" ht="15" thickTop="1" x14ac:dyDescent="0.2">
      <c r="A153" s="45" t="s">
        <v>992</v>
      </c>
      <c r="B153" s="45" t="s">
        <v>992</v>
      </c>
      <c r="E153" t="s">
        <v>996</v>
      </c>
      <c r="F153" t="str">
        <f t="shared" ca="1" si="66"/>
        <v>Copy E:\加盟账单\2019账单\2019年07月\商品\账单\模型v1.0.xlsx E:\加盟账单\2019账单\2019年07月\商品\账单\29222.xlsx</v>
      </c>
      <c r="G153" t="str">
        <f t="shared" ca="1" si="67"/>
        <v>E:\加盟账单\2019账单\2019年07月\商品\账单\29222.xlsx</v>
      </c>
      <c r="H153" t="s">
        <v>536</v>
      </c>
      <c r="I153" s="80" t="e">
        <f>VLOOKUP(B:B,Mail!D:H,5,0)</f>
        <v>#N/A</v>
      </c>
      <c r="K153" t="b">
        <f>H153=PATH24[[#Totals],[PATH]]</f>
        <v>0</v>
      </c>
    </row>
    <row r="158" spans="1:11" ht="9" customHeight="1" x14ac:dyDescent="0.2"/>
  </sheetData>
  <autoFilter ref="A2:H153" xr:uid="{67B7AF2F-F4FE-4965-9A68-74C1549CFD3A}"/>
  <phoneticPr fontId="1" type="noConversion"/>
  <conditionalFormatting sqref="A1:A1048576">
    <cfRule type="duplicateValues" dxfId="20" priority="5"/>
  </conditionalFormatting>
  <conditionalFormatting sqref="D1:D1048576">
    <cfRule type="duplicateValues" dxfId="19" priority="4"/>
  </conditionalFormatting>
  <conditionalFormatting sqref="A2:A149">
    <cfRule type="duplicateValues" dxfId="18" priority="6"/>
    <cfRule type="duplicateValues" dxfId="17" priority="7"/>
  </conditionalFormatting>
  <conditionalFormatting sqref="B151">
    <cfRule type="duplicateValues" dxfId="16" priority="3"/>
  </conditionalFormatting>
  <conditionalFormatting sqref="B152:B153">
    <cfRule type="duplicateValues" dxfId="15" priority="2"/>
  </conditionalFormatting>
  <conditionalFormatting sqref="B150">
    <cfRule type="duplicateValues" dxfId="14" priority="1"/>
  </conditionalFormatting>
  <hyperlinks>
    <hyperlink ref="H138" r:id="rId1" xr:uid="{C179E41E-18D0-43EC-9246-181C0481E10B}"/>
    <hyperlink ref="H76" r:id="rId2" xr:uid="{CB4362F0-0CA7-45CC-B383-19B95C724903}"/>
    <hyperlink ref="H54" r:id="rId3" xr:uid="{093BF2CB-32B0-47AA-9B45-28E44F026A03}"/>
    <hyperlink ref="H151" r:id="rId4" xr:uid="{6CD3D359-E9AB-413E-961C-948EDF94B0F4}"/>
    <hyperlink ref="H152" r:id="rId5" xr:uid="{551A9124-4F23-4F91-9FC0-070D1F5F1A4D}"/>
    <hyperlink ref="H37" r:id="rId6" xr:uid="{188A639C-7821-4BDF-B012-590B55FBF27C}"/>
  </hyperlinks>
  <pageMargins left="0.7" right="0.7" top="0.75" bottom="0.75" header="0.3" footer="0.3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9D868-1564-4D4F-8094-84E71DAFA4D2}">
  <sheetPr codeName="Sheet2"/>
  <dimension ref="A1:I160"/>
  <sheetViews>
    <sheetView tabSelected="1" workbookViewId="0">
      <selection activeCell="D18" sqref="D18"/>
    </sheetView>
  </sheetViews>
  <sheetFormatPr defaultRowHeight="14.25" x14ac:dyDescent="0.2"/>
  <cols>
    <col min="1" max="1" width="9" style="76" customWidth="1"/>
    <col min="2" max="2" width="31.75" customWidth="1"/>
    <col min="3" max="3" width="112" customWidth="1"/>
    <col min="4" max="4" width="49.625" customWidth="1"/>
    <col min="5" max="5" width="27.75" bestFit="1" customWidth="1"/>
    <col min="8" max="8" width="11.625" bestFit="1" customWidth="1"/>
  </cols>
  <sheetData>
    <row r="1" spans="1:9" x14ac:dyDescent="0.2">
      <c r="A1" s="45" t="s">
        <v>806</v>
      </c>
      <c r="B1" t="s">
        <v>775</v>
      </c>
      <c r="C1" t="s">
        <v>2</v>
      </c>
      <c r="D1" t="s">
        <v>3</v>
      </c>
      <c r="E1" t="s">
        <v>667</v>
      </c>
      <c r="F1" t="s">
        <v>988</v>
      </c>
      <c r="I1" t="str">
        <f ca="1">CELL("filename")</f>
        <v>E:\加盟账单\2019账单\2019年07月\商品\账单\[批量生成Excel文件V1.0.xlsm]Bat</v>
      </c>
    </row>
    <row r="2" spans="1:9" x14ac:dyDescent="0.2">
      <c r="A2" s="45" t="s">
        <v>842</v>
      </c>
      <c r="B2" t="s">
        <v>169</v>
      </c>
      <c r="C2" t="str">
        <f t="shared" ref="C2:C33" ca="1" si="0">"Copy "&amp;$F$2&amp;"模型v1.0.xlsx "&amp;$F$2&amp;""&amp;A2&amp;".xlsx"</f>
        <v>Copy E:\加盟账单\2019账单\2019年07月\商品\账单\模型v1.0.xlsx E:\加盟账单\2019账单\2019年07月\商品\账单\29001.xlsx</v>
      </c>
      <c r="D2" t="str">
        <f t="shared" ref="D2:D33" ca="1" si="1">$F$2&amp;""&amp;A2&amp;".xlsx"</f>
        <v>E:\加盟账单\2019账单\2019年07月\商品\账单\29001.xlsx</v>
      </c>
      <c r="E2" t="s">
        <v>171</v>
      </c>
      <c r="F2" t="str">
        <f ca="1">LEFT(CELL("filename"),FIND("[",CELL("filename"))-1)</f>
        <v>E:\加盟账单\2019账单\2019年07月\商品\账单\</v>
      </c>
    </row>
    <row r="3" spans="1:9" ht="15" thickBot="1" x14ac:dyDescent="0.25">
      <c r="A3" s="45" t="s">
        <v>843</v>
      </c>
      <c r="B3" t="s">
        <v>174</v>
      </c>
      <c r="C3" t="str">
        <f t="shared" ca="1" si="0"/>
        <v>Copy E:\加盟账单\2019账单\2019年07月\商品\账单\模型v1.0.xlsx E:\加盟账单\2019账单\2019年07月\商品\账单\29008.xlsx</v>
      </c>
      <c r="D3" t="str">
        <f t="shared" ca="1" si="1"/>
        <v>E:\加盟账单\2019账单\2019年07月\商品\账单\29008.xlsx</v>
      </c>
      <c r="E3" t="s">
        <v>177</v>
      </c>
      <c r="F3" t="str">
        <f>VLOOKUP(A:A,邮箱!A2:H153,8,0)</f>
        <v>1803938118@qq.com</v>
      </c>
      <c r="H3" t="b">
        <f>E3=PATH2[[#Totals],[PATH]]</f>
        <v>1</v>
      </c>
      <c r="I3" t="str">
        <f ca="1">LEFT(I1,FIND("[",I1)-1)</f>
        <v>E:\加盟账单\2019账单\2019年07月\商品\账单\</v>
      </c>
    </row>
    <row r="4" spans="1:9" ht="15.75" thickTop="1" thickBot="1" x14ac:dyDescent="0.25">
      <c r="A4" s="45" t="s">
        <v>844</v>
      </c>
      <c r="B4" t="s">
        <v>179</v>
      </c>
      <c r="C4" t="str">
        <f t="shared" ca="1" si="0"/>
        <v>Copy E:\加盟账单\2019账单\2019年07月\商品\账单\模型v1.0.xlsx E:\加盟账单\2019账单\2019年07月\商品\账单\29009.xlsx</v>
      </c>
      <c r="D4" t="str">
        <f t="shared" ca="1" si="1"/>
        <v>E:\加盟账单\2019账单\2019年07月\商品\账单\29009.xlsx</v>
      </c>
      <c r="E4" t="s">
        <v>181</v>
      </c>
      <c r="F4" s="80" t="str">
        <f>VLOOKUP(A:A,邮箱!A3:H154,8,0)</f>
        <v>1272589410@qq.com</v>
      </c>
      <c r="H4" t="b">
        <f>E4=F4</f>
        <v>1</v>
      </c>
    </row>
    <row r="5" spans="1:9" ht="15.75" thickTop="1" thickBot="1" x14ac:dyDescent="0.25">
      <c r="A5" s="45" t="s">
        <v>845</v>
      </c>
      <c r="B5" t="s">
        <v>189</v>
      </c>
      <c r="C5" t="str">
        <f t="shared" ca="1" si="0"/>
        <v>Copy E:\加盟账单\2019账单\2019年07月\商品\账单\模型v1.0.xlsx E:\加盟账单\2019账单\2019年07月\商品\账单\29011.xlsx</v>
      </c>
      <c r="D5" t="str">
        <f t="shared" ca="1" si="1"/>
        <v>E:\加盟账单\2019账单\2019年07月\商品\账单\29011.xlsx</v>
      </c>
      <c r="E5" t="s">
        <v>191</v>
      </c>
      <c r="F5" s="80" t="str">
        <f>VLOOKUP(A:A,邮箱!$A$4:$H$155,8,0)</f>
        <v>46281916@qq.com</v>
      </c>
      <c r="H5" t="b">
        <f>E5=F5</f>
        <v>1</v>
      </c>
    </row>
    <row r="6" spans="1:9" ht="15.75" thickTop="1" thickBot="1" x14ac:dyDescent="0.25">
      <c r="A6" s="45" t="s">
        <v>846</v>
      </c>
      <c r="B6" t="s">
        <v>193</v>
      </c>
      <c r="C6" t="str">
        <f t="shared" ca="1" si="0"/>
        <v>Copy E:\加盟账单\2019账单\2019年07月\商品\账单\模型v1.0.xlsx E:\加盟账单\2019账单\2019年07月\商品\账单\29012.xlsx</v>
      </c>
      <c r="D6" t="str">
        <f t="shared" ca="1" si="1"/>
        <v>E:\加盟账单\2019账单\2019年07月\商品\账单\29012.xlsx</v>
      </c>
      <c r="E6" t="s">
        <v>196</v>
      </c>
      <c r="F6" s="80" t="str">
        <f>VLOOKUP(A:A,邮箱!$A$4:$H$155,8,0)</f>
        <v>1825528626@qq.com</v>
      </c>
      <c r="H6" t="b">
        <f t="shared" ref="H6" si="2">E6=F6</f>
        <v>1</v>
      </c>
    </row>
    <row r="7" spans="1:9" ht="15.75" thickTop="1" thickBot="1" x14ac:dyDescent="0.25">
      <c r="A7" s="45" t="s">
        <v>847</v>
      </c>
      <c r="B7" t="s">
        <v>197</v>
      </c>
      <c r="C7" t="str">
        <f t="shared" ca="1" si="0"/>
        <v>Copy E:\加盟账单\2019账单\2019年07月\商品\账单\模型v1.0.xlsx E:\加盟账单\2019账单\2019年07月\商品\账单\29013.xlsx</v>
      </c>
      <c r="D7" t="str">
        <f t="shared" ca="1" si="1"/>
        <v>E:\加盟账单\2019账单\2019年07月\商品\账单\29013.xlsx</v>
      </c>
      <c r="E7" t="s">
        <v>200</v>
      </c>
      <c r="F7" s="80" t="str">
        <f>VLOOKUP(A:A,邮箱!$A$4:$H$155,8,0)</f>
        <v>1534269116@qq.com</v>
      </c>
      <c r="H7" t="b">
        <f>E7=F7</f>
        <v>1</v>
      </c>
    </row>
    <row r="8" spans="1:9" ht="15.75" thickTop="1" thickBot="1" x14ac:dyDescent="0.25">
      <c r="A8" s="45" t="s">
        <v>848</v>
      </c>
      <c r="B8" t="s">
        <v>201</v>
      </c>
      <c r="C8" t="str">
        <f t="shared" ca="1" si="0"/>
        <v>Copy E:\加盟账单\2019账单\2019年07月\商品\账单\模型v1.0.xlsx E:\加盟账单\2019账单\2019年07月\商品\账单\29014.xlsx</v>
      </c>
      <c r="D8" t="str">
        <f t="shared" ca="1" si="1"/>
        <v>E:\加盟账单\2019账单\2019年07月\商品\账单\29014.xlsx</v>
      </c>
      <c r="E8" t="s">
        <v>200</v>
      </c>
      <c r="F8" s="80" t="str">
        <f>VLOOKUP(A:A,邮箱!$A$4:$H$155,8,0)</f>
        <v>1534269116@qq.com</v>
      </c>
      <c r="H8" t="b">
        <f t="shared" ref="H8" si="3">E8=F8</f>
        <v>1</v>
      </c>
    </row>
    <row r="9" spans="1:9" ht="15.75" thickTop="1" thickBot="1" x14ac:dyDescent="0.25">
      <c r="A9" s="45" t="s">
        <v>849</v>
      </c>
      <c r="B9" t="s">
        <v>204</v>
      </c>
      <c r="C9" t="str">
        <f t="shared" ca="1" si="0"/>
        <v>Copy E:\加盟账单\2019账单\2019年07月\商品\账单\模型v1.0.xlsx E:\加盟账单\2019账单\2019年07月\商品\账单\29015.xlsx</v>
      </c>
      <c r="D9" t="str">
        <f t="shared" ca="1" si="1"/>
        <v>E:\加盟账单\2019账单\2019年07月\商品\账单\29015.xlsx</v>
      </c>
      <c r="E9" t="s">
        <v>207</v>
      </c>
      <c r="F9" s="80" t="str">
        <f>VLOOKUP(A:A,邮箱!$A$4:$H$155,8,0)</f>
        <v>1297658087@qq.com</v>
      </c>
      <c r="H9" t="b">
        <f>E9=F9</f>
        <v>1</v>
      </c>
    </row>
    <row r="10" spans="1:9" ht="15.75" thickTop="1" thickBot="1" x14ac:dyDescent="0.25">
      <c r="A10" s="45" t="s">
        <v>850</v>
      </c>
      <c r="B10" t="s">
        <v>208</v>
      </c>
      <c r="C10" t="str">
        <f t="shared" ca="1" si="0"/>
        <v>Copy E:\加盟账单\2019账单\2019年07月\商品\账单\模型v1.0.xlsx E:\加盟账单\2019账单\2019年07月\商品\账单\29016.xlsx</v>
      </c>
      <c r="D10" t="str">
        <f t="shared" ca="1" si="1"/>
        <v>E:\加盟账单\2019账单\2019年07月\商品\账单\29016.xlsx</v>
      </c>
      <c r="E10" t="s">
        <v>211</v>
      </c>
      <c r="F10" s="80" t="str">
        <f>VLOOKUP(A:A,邮箱!$A$4:$H$155,8,0)</f>
        <v>307288998@qq.com</v>
      </c>
      <c r="H10" t="b">
        <f t="shared" ref="H10" si="4">E10=F10</f>
        <v>1</v>
      </c>
    </row>
    <row r="11" spans="1:9" ht="15.75" thickTop="1" thickBot="1" x14ac:dyDescent="0.25">
      <c r="A11" s="45" t="s">
        <v>851</v>
      </c>
      <c r="B11" t="s">
        <v>213</v>
      </c>
      <c r="C11" t="str">
        <f t="shared" ca="1" si="0"/>
        <v>Copy E:\加盟账单\2019账单\2019年07月\商品\账单\模型v1.0.xlsx E:\加盟账单\2019账单\2019年07月\商品\账单\29017.xlsx</v>
      </c>
      <c r="D11" t="str">
        <f t="shared" ca="1" si="1"/>
        <v>E:\加盟账单\2019账单\2019年07月\商品\账单\29017.xlsx</v>
      </c>
      <c r="E11" t="s">
        <v>216</v>
      </c>
      <c r="F11" s="80" t="str">
        <f>VLOOKUP(A:A,邮箱!$A$4:$H$155,8,0)</f>
        <v>2995096216@qq.com</v>
      </c>
      <c r="H11" t="b">
        <f>E11=F11</f>
        <v>1</v>
      </c>
    </row>
    <row r="12" spans="1:9" ht="15.75" thickTop="1" thickBot="1" x14ac:dyDescent="0.25">
      <c r="A12" s="45" t="s">
        <v>852</v>
      </c>
      <c r="B12" t="s">
        <v>218</v>
      </c>
      <c r="C12" t="str">
        <f t="shared" ca="1" si="0"/>
        <v>Copy E:\加盟账单\2019账单\2019年07月\商品\账单\模型v1.0.xlsx E:\加盟账单\2019账单\2019年07月\商品\账单\29018.xlsx</v>
      </c>
      <c r="D12" t="str">
        <f t="shared" ca="1" si="1"/>
        <v>E:\加盟账单\2019账单\2019年07月\商品\账单\29018.xlsx</v>
      </c>
      <c r="E12" t="s">
        <v>221</v>
      </c>
      <c r="F12" s="80" t="str">
        <f>VLOOKUP(A:A,邮箱!$A$4:$H$155,8,0)</f>
        <v>115617493@qq.com</v>
      </c>
      <c r="H12" t="b">
        <f t="shared" ref="H12" si="5">E12=F12</f>
        <v>1</v>
      </c>
    </row>
    <row r="13" spans="1:9" ht="15.75" thickTop="1" thickBot="1" x14ac:dyDescent="0.25">
      <c r="A13" s="45" t="s">
        <v>853</v>
      </c>
      <c r="B13" t="s">
        <v>222</v>
      </c>
      <c r="C13" t="str">
        <f t="shared" ca="1" si="0"/>
        <v>Copy E:\加盟账单\2019账单\2019年07月\商品\账单\模型v1.0.xlsx E:\加盟账单\2019账单\2019年07月\商品\账单\29019.xlsx</v>
      </c>
      <c r="D13" t="str">
        <f t="shared" ca="1" si="1"/>
        <v>E:\加盟账单\2019账单\2019年07月\商品\账单\29019.xlsx</v>
      </c>
      <c r="E13" t="s">
        <v>200</v>
      </c>
      <c r="F13" s="80" t="str">
        <f>VLOOKUP(A:A,邮箱!$A$4:$H$155,8,0)</f>
        <v>1534269116@qq.com</v>
      </c>
      <c r="H13" t="b">
        <f>E13=F13</f>
        <v>1</v>
      </c>
    </row>
    <row r="14" spans="1:9" ht="15.75" thickTop="1" thickBot="1" x14ac:dyDescent="0.25">
      <c r="A14" s="45" t="s">
        <v>854</v>
      </c>
      <c r="B14" t="s">
        <v>226</v>
      </c>
      <c r="C14" t="str">
        <f t="shared" ca="1" si="0"/>
        <v>Copy E:\加盟账单\2019账单\2019年07月\商品\账单\模型v1.0.xlsx E:\加盟账单\2019账单\2019年07月\商品\账单\29020.xlsx</v>
      </c>
      <c r="D14" t="str">
        <f t="shared" ca="1" si="1"/>
        <v>E:\加盟账单\2019账单\2019年07月\商品\账单\29020.xlsx</v>
      </c>
      <c r="E14" t="s">
        <v>229</v>
      </c>
      <c r="F14" s="80" t="str">
        <f>VLOOKUP(A:A,邮箱!$A$4:$H$155,8,0)</f>
        <v>80970126@qq.com</v>
      </c>
      <c r="H14" t="b">
        <f t="shared" ref="H14" si="6">E14=F14</f>
        <v>1</v>
      </c>
    </row>
    <row r="15" spans="1:9" ht="15.75" thickTop="1" thickBot="1" x14ac:dyDescent="0.25">
      <c r="A15" s="45" t="s">
        <v>855</v>
      </c>
      <c r="B15" t="s">
        <v>230</v>
      </c>
      <c r="C15" t="str">
        <f t="shared" ca="1" si="0"/>
        <v>Copy E:\加盟账单\2019账单\2019年07月\商品\账单\模型v1.0.xlsx E:\加盟账单\2019账单\2019年07月\商品\账单\29021.xlsx</v>
      </c>
      <c r="D15" t="str">
        <f t="shared" ca="1" si="1"/>
        <v>E:\加盟账单\2019账单\2019年07月\商品\账单\29021.xlsx</v>
      </c>
      <c r="E15" t="s">
        <v>233</v>
      </c>
      <c r="F15" s="80" t="str">
        <f>VLOOKUP(A:A,邮箱!$A$4:$H$155,8,0)</f>
        <v>qsh@bsdglasses.com</v>
      </c>
      <c r="H15" t="b">
        <f>E15=F15</f>
        <v>1</v>
      </c>
    </row>
    <row r="16" spans="1:9" ht="15.75" thickTop="1" thickBot="1" x14ac:dyDescent="0.25">
      <c r="A16" s="45" t="s">
        <v>856</v>
      </c>
      <c r="B16" t="s">
        <v>235</v>
      </c>
      <c r="C16" t="str">
        <f t="shared" ca="1" si="0"/>
        <v>Copy E:\加盟账单\2019账单\2019年07月\商品\账单\模型v1.0.xlsx E:\加盟账单\2019账单\2019年07月\商品\账单\29023.xlsx</v>
      </c>
      <c r="D16" t="str">
        <f t="shared" ca="1" si="1"/>
        <v>E:\加盟账单\2019账单\2019年07月\商品\账单\29023.xlsx</v>
      </c>
      <c r="E16" t="s">
        <v>237</v>
      </c>
      <c r="F16" s="80" t="str">
        <f>VLOOKUP(A:A,邮箱!$A$4:$H$155,8,0)</f>
        <v>554542360@qq.com</v>
      </c>
      <c r="H16" t="b">
        <f t="shared" ref="H16" si="7">E16=F16</f>
        <v>1</v>
      </c>
    </row>
    <row r="17" spans="1:8" ht="15.75" thickTop="1" thickBot="1" x14ac:dyDescent="0.25">
      <c r="A17" s="45" t="s">
        <v>857</v>
      </c>
      <c r="B17" t="s">
        <v>238</v>
      </c>
      <c r="C17" t="str">
        <f t="shared" ca="1" si="0"/>
        <v>Copy E:\加盟账单\2019账单\2019年07月\商品\账单\模型v1.0.xlsx E:\加盟账单\2019账单\2019年07月\商品\账单\29024.xlsx</v>
      </c>
      <c r="D17" t="str">
        <f t="shared" ca="1" si="1"/>
        <v>E:\加盟账单\2019账单\2019年07月\商品\账单\29024.xlsx</v>
      </c>
      <c r="E17" t="s">
        <v>241</v>
      </c>
      <c r="F17" s="80" t="str">
        <f>VLOOKUP(A:A,邮箱!$A$4:$H$155,8,0)</f>
        <v>282940037@qq.com</v>
      </c>
      <c r="H17" t="b">
        <f>E17=F17</f>
        <v>1</v>
      </c>
    </row>
    <row r="18" spans="1:8" ht="15.75" thickTop="1" thickBot="1" x14ac:dyDescent="0.25">
      <c r="A18" s="45" t="s">
        <v>858</v>
      </c>
      <c r="B18" t="s">
        <v>243</v>
      </c>
      <c r="C18" t="str">
        <f t="shared" ca="1" si="0"/>
        <v>Copy E:\加盟账单\2019账单\2019年07月\商品\账单\模型v1.0.xlsx E:\加盟账单\2019账单\2019年07月\商品\账单\29025.xlsx</v>
      </c>
      <c r="D18" t="str">
        <f t="shared" ca="1" si="1"/>
        <v>E:\加盟账单\2019账单\2019年07月\商品\账单\29025.xlsx</v>
      </c>
      <c r="E18" t="s">
        <v>244</v>
      </c>
      <c r="F18" s="80" t="str">
        <f>VLOOKUP(A:A,邮箱!$A$4:$H$155,8,0)</f>
        <v>497021699@qq.com</v>
      </c>
      <c r="H18" t="b">
        <f t="shared" ref="H18" si="8">E18=F18</f>
        <v>1</v>
      </c>
    </row>
    <row r="19" spans="1:8" ht="15.75" thickTop="1" thickBot="1" x14ac:dyDescent="0.25">
      <c r="A19" s="45" t="s">
        <v>859</v>
      </c>
      <c r="B19" t="s">
        <v>255</v>
      </c>
      <c r="C19" t="str">
        <f t="shared" ca="1" si="0"/>
        <v>Copy E:\加盟账单\2019账单\2019年07月\商品\账单\模型v1.0.xlsx E:\加盟账单\2019账单\2019年07月\商品\账单\29031.xlsx</v>
      </c>
      <c r="D19" t="str">
        <f t="shared" ca="1" si="1"/>
        <v>E:\加盟账单\2019账单\2019年07月\商品\账单\29031.xlsx</v>
      </c>
      <c r="E19" t="s">
        <v>257</v>
      </c>
      <c r="F19" s="80" t="str">
        <f>VLOOKUP(A:A,邮箱!$A$4:$H$155,8,0)</f>
        <v>395730747@qq.com</v>
      </c>
      <c r="H19" t="b">
        <f>E19=F19</f>
        <v>1</v>
      </c>
    </row>
    <row r="20" spans="1:8" ht="15.75" thickTop="1" thickBot="1" x14ac:dyDescent="0.25">
      <c r="A20" s="45" t="s">
        <v>1005</v>
      </c>
      <c r="B20" t="s">
        <v>258</v>
      </c>
      <c r="C20" t="str">
        <f t="shared" ca="1" si="0"/>
        <v>Copy E:\加盟账单\2019账单\2019年07月\商品\账单\模型v1.0.xlsx E:\加盟账单\2019账单\2019年07月\商品\账单\29034.xlsx</v>
      </c>
      <c r="D20" t="str">
        <f t="shared" ca="1" si="1"/>
        <v>E:\加盟账单\2019账单\2019年07月\商品\账单\29034.xlsx</v>
      </c>
      <c r="E20" t="s">
        <v>1014</v>
      </c>
      <c r="F20" s="80" t="e">
        <f>VLOOKUP(A:A,邮箱!$A$4:$H$155,8,0)</f>
        <v>#N/A</v>
      </c>
      <c r="H20" t="e">
        <f t="shared" ref="H20" si="9">E20=F20</f>
        <v>#N/A</v>
      </c>
    </row>
    <row r="21" spans="1:8" ht="15.75" thickTop="1" thickBot="1" x14ac:dyDescent="0.25">
      <c r="A21" s="45" t="s">
        <v>860</v>
      </c>
      <c r="B21" t="s">
        <v>266</v>
      </c>
      <c r="C21" t="str">
        <f t="shared" ca="1" si="0"/>
        <v>Copy E:\加盟账单\2019账单\2019年07月\商品\账单\模型v1.0.xlsx E:\加盟账单\2019账单\2019年07月\商品\账单\29036.xlsx</v>
      </c>
      <c r="D21" t="str">
        <f t="shared" ca="1" si="1"/>
        <v>E:\加盟账单\2019账单\2019年07月\商品\账单\29036.xlsx</v>
      </c>
      <c r="E21" t="s">
        <v>268</v>
      </c>
      <c r="F21" s="80" t="str">
        <f>VLOOKUP(A:A,邮箱!$A$4:$H$155,8,0)</f>
        <v>492929811@qq.com</v>
      </c>
      <c r="H21" t="b">
        <f>E21=F21</f>
        <v>1</v>
      </c>
    </row>
    <row r="22" spans="1:8" ht="15.75" thickTop="1" thickBot="1" x14ac:dyDescent="0.25">
      <c r="A22" s="45" t="s">
        <v>861</v>
      </c>
      <c r="B22" t="s">
        <v>275</v>
      </c>
      <c r="C22" t="str">
        <f t="shared" ca="1" si="0"/>
        <v>Copy E:\加盟账单\2019账单\2019年07月\商品\账单\模型v1.0.xlsx E:\加盟账单\2019账单\2019年07月\商品\账单\29038.xlsx</v>
      </c>
      <c r="D22" t="str">
        <f t="shared" ca="1" si="1"/>
        <v>E:\加盟账单\2019账单\2019年07月\商品\账单\29038.xlsx</v>
      </c>
      <c r="E22" t="s">
        <v>277</v>
      </c>
      <c r="F22" s="80" t="str">
        <f>VLOOKUP(A:A,邮箱!$A$4:$H$155,8,0)</f>
        <v>1175401298@qq.com</v>
      </c>
      <c r="H22" t="b">
        <f t="shared" ref="H22" si="10">E22=F22</f>
        <v>1</v>
      </c>
    </row>
    <row r="23" spans="1:8" ht="15.75" thickTop="1" thickBot="1" x14ac:dyDescent="0.25">
      <c r="A23" s="45" t="s">
        <v>862</v>
      </c>
      <c r="B23" t="s">
        <v>280</v>
      </c>
      <c r="C23" t="str">
        <f t="shared" ca="1" si="0"/>
        <v>Copy E:\加盟账单\2019账单\2019年07月\商品\账单\模型v1.0.xlsx E:\加盟账单\2019账单\2019年07月\商品\账单\29039.xlsx</v>
      </c>
      <c r="D23" t="str">
        <f t="shared" ca="1" si="1"/>
        <v>E:\加盟账单\2019账单\2019年07月\商品\账单\29039.xlsx</v>
      </c>
      <c r="E23" t="s">
        <v>282</v>
      </c>
      <c r="F23" s="80" t="str">
        <f>VLOOKUP(A:A,邮箱!$A$4:$H$155,8,0)</f>
        <v>2410888347@qq.com</v>
      </c>
      <c r="H23" t="b">
        <f>E23=F23</f>
        <v>1</v>
      </c>
    </row>
    <row r="24" spans="1:8" ht="15.75" thickTop="1" thickBot="1" x14ac:dyDescent="0.25">
      <c r="A24" s="45" t="s">
        <v>863</v>
      </c>
      <c r="B24" t="s">
        <v>283</v>
      </c>
      <c r="C24" t="str">
        <f t="shared" ca="1" si="0"/>
        <v>Copy E:\加盟账单\2019账单\2019年07月\商品\账单\模型v1.0.xlsx E:\加盟账单\2019账单\2019年07月\商品\账单\29040.xlsx</v>
      </c>
      <c r="D24" t="str">
        <f t="shared" ca="1" si="1"/>
        <v>E:\加盟账单\2019账单\2019年07月\商品\账单\29040.xlsx</v>
      </c>
      <c r="E24" t="s">
        <v>285</v>
      </c>
      <c r="F24" s="80" t="str">
        <f>VLOOKUP(A:A,邮箱!$A$4:$H$155,8,0)</f>
        <v>438837146@qq.com</v>
      </c>
      <c r="H24" t="b">
        <f t="shared" ref="H24" si="11">E24=F24</f>
        <v>1</v>
      </c>
    </row>
    <row r="25" spans="1:8" ht="15.75" thickTop="1" thickBot="1" x14ac:dyDescent="0.25">
      <c r="A25" s="45" t="s">
        <v>864</v>
      </c>
      <c r="B25" t="s">
        <v>286</v>
      </c>
      <c r="C25" t="str">
        <f t="shared" ca="1" si="0"/>
        <v>Copy E:\加盟账单\2019账单\2019年07月\商品\账单\模型v1.0.xlsx E:\加盟账单\2019账单\2019年07月\商品\账单\29042.xlsx</v>
      </c>
      <c r="D25" t="str">
        <f t="shared" ca="1" si="1"/>
        <v>E:\加盟账单\2019账单\2019年07月\商品\账单\29042.xlsx</v>
      </c>
      <c r="E25" t="s">
        <v>288</v>
      </c>
      <c r="F25" s="80" t="str">
        <f>VLOOKUP(A:A,邮箱!$A$4:$H$155,8,0)</f>
        <v>316705173@qq.com</v>
      </c>
      <c r="H25" t="b">
        <f>E25=F25</f>
        <v>1</v>
      </c>
    </row>
    <row r="26" spans="1:8" ht="15.75" thickTop="1" thickBot="1" x14ac:dyDescent="0.25">
      <c r="A26" s="45" t="s">
        <v>865</v>
      </c>
      <c r="B26" t="s">
        <v>292</v>
      </c>
      <c r="C26" t="str">
        <f t="shared" ca="1" si="0"/>
        <v>Copy E:\加盟账单\2019账单\2019年07月\商品\账单\模型v1.0.xlsx E:\加盟账单\2019账单\2019年07月\商品\账单\29044.xlsx</v>
      </c>
      <c r="D26" t="str">
        <f t="shared" ca="1" si="1"/>
        <v>E:\加盟账单\2019账单\2019年07月\商品\账单\29044.xlsx</v>
      </c>
      <c r="E26" t="s">
        <v>808</v>
      </c>
      <c r="F26" s="80" t="str">
        <f>VLOOKUP(A:A,邮箱!$A$4:$H$155,8,0)</f>
        <v>406195895@qq.com</v>
      </c>
      <c r="H26" t="b">
        <f t="shared" ref="H26" si="12">E26=F26</f>
        <v>1</v>
      </c>
    </row>
    <row r="27" spans="1:8" ht="15.75" thickTop="1" thickBot="1" x14ac:dyDescent="0.25">
      <c r="A27" s="45" t="s">
        <v>867</v>
      </c>
      <c r="B27" t="s">
        <v>295</v>
      </c>
      <c r="C27" t="str">
        <f t="shared" ca="1" si="0"/>
        <v>Copy E:\加盟账单\2019账单\2019年07月\商品\账单\模型v1.0.xlsx E:\加盟账单\2019账单\2019年07月\商品\账单\29046.xlsx</v>
      </c>
      <c r="D27" t="str">
        <f t="shared" ca="1" si="1"/>
        <v>E:\加盟账单\2019账单\2019年07月\商品\账单\29046.xlsx</v>
      </c>
      <c r="E27" t="s">
        <v>248</v>
      </c>
      <c r="F27" s="80" t="str">
        <f>VLOOKUP(A:A,邮箱!$A$4:$H$155,8,0)</f>
        <v>1801735103@qq.com</v>
      </c>
      <c r="H27" t="b">
        <f>E27=F27</f>
        <v>1</v>
      </c>
    </row>
    <row r="28" spans="1:8" ht="15.75" thickTop="1" thickBot="1" x14ac:dyDescent="0.25">
      <c r="A28" s="45" t="s">
        <v>868</v>
      </c>
      <c r="B28" t="s">
        <v>300</v>
      </c>
      <c r="C28" t="str">
        <f t="shared" ca="1" si="0"/>
        <v>Copy E:\加盟账单\2019账单\2019年07月\商品\账单\模型v1.0.xlsx E:\加盟账单\2019账单\2019年07月\商品\账单\29047.xlsx</v>
      </c>
      <c r="D28" t="str">
        <f t="shared" ca="1" si="1"/>
        <v>E:\加盟账单\2019账单\2019年07月\商品\账单\29047.xlsx</v>
      </c>
      <c r="E28" t="s">
        <v>302</v>
      </c>
      <c r="F28" s="80" t="str">
        <f>VLOOKUP(A:A,邮箱!$A$4:$H$155,8,0)</f>
        <v>27441572@qq.com</v>
      </c>
      <c r="H28" t="b">
        <f t="shared" ref="H28" si="13">E28=F28</f>
        <v>1</v>
      </c>
    </row>
    <row r="29" spans="1:8" ht="15.75" thickTop="1" thickBot="1" x14ac:dyDescent="0.25">
      <c r="A29" s="45" t="s">
        <v>869</v>
      </c>
      <c r="B29" t="s">
        <v>303</v>
      </c>
      <c r="C29" t="str">
        <f t="shared" ca="1" si="0"/>
        <v>Copy E:\加盟账单\2019账单\2019年07月\商品\账单\模型v1.0.xlsx E:\加盟账单\2019账单\2019年07月\商品\账单\29049.xlsx</v>
      </c>
      <c r="D29" t="str">
        <f t="shared" ca="1" si="1"/>
        <v>E:\加盟账单\2019账单\2019年07月\商品\账单\29049.xlsx</v>
      </c>
      <c r="E29" t="s">
        <v>305</v>
      </c>
      <c r="F29" s="80" t="str">
        <f>VLOOKUP(A:A,邮箱!$A$4:$H$155,8,0)</f>
        <v>1467566783@qq.com</v>
      </c>
      <c r="H29" t="b">
        <f>E29=F29</f>
        <v>1</v>
      </c>
    </row>
    <row r="30" spans="1:8" ht="15.75" thickTop="1" thickBot="1" x14ac:dyDescent="0.25">
      <c r="A30" s="45" t="s">
        <v>870</v>
      </c>
      <c r="B30" t="s">
        <v>307</v>
      </c>
      <c r="C30" t="str">
        <f t="shared" ca="1" si="0"/>
        <v>Copy E:\加盟账单\2019账单\2019年07月\商品\账单\模型v1.0.xlsx E:\加盟账单\2019账单\2019年07月\商品\账单\29050.xlsx</v>
      </c>
      <c r="D30" t="str">
        <f t="shared" ca="1" si="1"/>
        <v>E:\加盟账单\2019账单\2019年07月\商品\账单\29050.xlsx</v>
      </c>
      <c r="E30" t="s">
        <v>309</v>
      </c>
      <c r="F30" s="80" t="str">
        <f>VLOOKUP(A:A,邮箱!$A$4:$H$155,8,0)</f>
        <v>13598284247@163.com</v>
      </c>
      <c r="H30" t="b">
        <f t="shared" ref="H30" si="14">E30=F30</f>
        <v>1</v>
      </c>
    </row>
    <row r="31" spans="1:8" ht="15.75" thickTop="1" thickBot="1" x14ac:dyDescent="0.25">
      <c r="A31" s="45" t="s">
        <v>1006</v>
      </c>
      <c r="B31" t="s">
        <v>312</v>
      </c>
      <c r="C31" t="str">
        <f t="shared" ca="1" si="0"/>
        <v>Copy E:\加盟账单\2019账单\2019年07月\商品\账单\模型v1.0.xlsx E:\加盟账单\2019账单\2019年07月\商品\账单\29052.xlsx</v>
      </c>
      <c r="D31" t="str">
        <f t="shared" ca="1" si="1"/>
        <v>E:\加盟账单\2019账单\2019年07月\商品\账单\29052.xlsx</v>
      </c>
      <c r="E31" t="s">
        <v>314</v>
      </c>
      <c r="F31" s="80" t="e">
        <f>VLOOKUP(A:A,邮箱!$A$4:$H$155,8,0)</f>
        <v>#N/A</v>
      </c>
      <c r="H31" t="e">
        <f>E31=F31</f>
        <v>#N/A</v>
      </c>
    </row>
    <row r="32" spans="1:8" ht="15.75" thickTop="1" thickBot="1" x14ac:dyDescent="0.25">
      <c r="A32" s="45" t="s">
        <v>871</v>
      </c>
      <c r="B32" t="s">
        <v>317</v>
      </c>
      <c r="C32" t="str">
        <f t="shared" ca="1" si="0"/>
        <v>Copy E:\加盟账单\2019账单\2019年07月\商品\账单\模型v1.0.xlsx E:\加盟账单\2019账单\2019年07月\商品\账单\29053.xlsx</v>
      </c>
      <c r="D32" t="str">
        <f t="shared" ca="1" si="1"/>
        <v>E:\加盟账单\2019账单\2019年07月\商品\账单\29053.xlsx</v>
      </c>
      <c r="E32" t="s">
        <v>319</v>
      </c>
      <c r="F32" s="80" t="str">
        <f>VLOOKUP(A:A,邮箱!$A$4:$H$155,8,0)</f>
        <v>2585988705@qq.com</v>
      </c>
      <c r="H32" t="b">
        <f t="shared" ref="H32" si="15">E32=F32</f>
        <v>1</v>
      </c>
    </row>
    <row r="33" spans="1:8" ht="15.75" thickTop="1" thickBot="1" x14ac:dyDescent="0.25">
      <c r="A33" s="45" t="s">
        <v>872</v>
      </c>
      <c r="B33" t="s">
        <v>320</v>
      </c>
      <c r="C33" t="str">
        <f t="shared" ca="1" si="0"/>
        <v>Copy E:\加盟账单\2019账单\2019年07月\商品\账单\模型v1.0.xlsx E:\加盟账单\2019账单\2019年07月\商品\账单\29054.xlsx</v>
      </c>
      <c r="D33" t="str">
        <f t="shared" ca="1" si="1"/>
        <v>E:\加盟账单\2019账单\2019年07月\商品\账单\29054.xlsx</v>
      </c>
      <c r="E33" t="s">
        <v>322</v>
      </c>
      <c r="F33" s="80" t="str">
        <f>VLOOKUP(A:A,邮箱!$A$4:$H$155,8,0)</f>
        <v>1172718910@qq.com</v>
      </c>
      <c r="H33" t="b">
        <f>E33=F33</f>
        <v>1</v>
      </c>
    </row>
    <row r="34" spans="1:8" ht="15.75" thickTop="1" thickBot="1" x14ac:dyDescent="0.25">
      <c r="A34" s="45" t="s">
        <v>873</v>
      </c>
      <c r="B34" t="s">
        <v>325</v>
      </c>
      <c r="C34" t="str">
        <f t="shared" ref="C34:C65" ca="1" si="16">"Copy "&amp;$F$2&amp;"模型v1.0.xlsx "&amp;$F$2&amp;""&amp;A34&amp;".xlsx"</f>
        <v>Copy E:\加盟账单\2019账单\2019年07月\商品\账单\模型v1.0.xlsx E:\加盟账单\2019账单\2019年07月\商品\账单\29055.xlsx</v>
      </c>
      <c r="D34" t="str">
        <f t="shared" ref="D34:D65" ca="1" si="17">$F$2&amp;""&amp;A34&amp;".xlsx"</f>
        <v>E:\加盟账单\2019账单\2019年07月\商品\账单\29055.xlsx</v>
      </c>
      <c r="E34" t="s">
        <v>327</v>
      </c>
      <c r="F34" s="80" t="str">
        <f>VLOOKUP(A:A,邮箱!$A$4:$H$155,8,0)</f>
        <v>81163873@qq.com</v>
      </c>
      <c r="H34" t="b">
        <f t="shared" ref="H34" si="18">E34=F34</f>
        <v>1</v>
      </c>
    </row>
    <row r="35" spans="1:8" ht="15.75" thickTop="1" thickBot="1" x14ac:dyDescent="0.25">
      <c r="A35" s="45" t="s">
        <v>874</v>
      </c>
      <c r="B35" t="s">
        <v>329</v>
      </c>
      <c r="C35" t="str">
        <f t="shared" ca="1" si="16"/>
        <v>Copy E:\加盟账单\2019账单\2019年07月\商品\账单\模型v1.0.xlsx E:\加盟账单\2019账单\2019年07月\商品\账单\29056.xlsx</v>
      </c>
      <c r="D35" t="str">
        <f t="shared" ca="1" si="17"/>
        <v>E:\加盟账单\2019账单\2019年07月\商品\账单\29056.xlsx</v>
      </c>
      <c r="E35" t="s">
        <v>331</v>
      </c>
      <c r="F35" s="80" t="str">
        <f>VLOOKUP(A:A,邮箱!$A$4:$H$155,8,0)</f>
        <v>354339099@qq.com</v>
      </c>
      <c r="H35" t="b">
        <f>E35=F35</f>
        <v>1</v>
      </c>
    </row>
    <row r="36" spans="1:8" ht="15.75" thickTop="1" thickBot="1" x14ac:dyDescent="0.25">
      <c r="A36" s="45" t="s">
        <v>875</v>
      </c>
      <c r="B36" t="s">
        <v>332</v>
      </c>
      <c r="C36" t="str">
        <f t="shared" ca="1" si="16"/>
        <v>Copy E:\加盟账单\2019账单\2019年07月\商品\账单\模型v1.0.xlsx E:\加盟账单\2019账单\2019年07月\商品\账单\29057.xlsx</v>
      </c>
      <c r="D36" t="str">
        <f t="shared" ca="1" si="17"/>
        <v>E:\加盟账单\2019账单\2019年07月\商品\账单\29057.xlsx</v>
      </c>
      <c r="E36" t="s">
        <v>334</v>
      </c>
      <c r="F36" s="80" t="str">
        <f>VLOOKUP(A:A,邮箱!$A$4:$H$155,8,0)</f>
        <v>13803751035@139.com</v>
      </c>
      <c r="H36" t="b">
        <f t="shared" ref="H36" si="19">E36=F36</f>
        <v>1</v>
      </c>
    </row>
    <row r="37" spans="1:8" ht="15.75" thickTop="1" thickBot="1" x14ac:dyDescent="0.25">
      <c r="A37" s="45" t="s">
        <v>876</v>
      </c>
      <c r="B37" t="s">
        <v>336</v>
      </c>
      <c r="C37" t="str">
        <f t="shared" ca="1" si="16"/>
        <v>Copy E:\加盟账单\2019账单\2019年07月\商品\账单\模型v1.0.xlsx E:\加盟账单\2019账单\2019年07月\商品\账单\29058.xlsx</v>
      </c>
      <c r="D37" t="str">
        <f t="shared" ca="1" si="17"/>
        <v>E:\加盟账单\2019账单\2019年07月\商品\账单\29058.xlsx</v>
      </c>
      <c r="E37" t="s">
        <v>339</v>
      </c>
      <c r="F37" s="80" t="str">
        <f>VLOOKUP(A:A,邮箱!$A$4:$H$155,8,0)</f>
        <v>981077565@qq.com</v>
      </c>
      <c r="H37" t="b">
        <f>E37=F37</f>
        <v>1</v>
      </c>
    </row>
    <row r="38" spans="1:8" ht="15.75" thickTop="1" thickBot="1" x14ac:dyDescent="0.25">
      <c r="A38" s="45" t="s">
        <v>877</v>
      </c>
      <c r="B38" t="s">
        <v>340</v>
      </c>
      <c r="C38" t="str">
        <f t="shared" ca="1" si="16"/>
        <v>Copy E:\加盟账单\2019账单\2019年07月\商品\账单\模型v1.0.xlsx E:\加盟账单\2019账单\2019年07月\商品\账单\29059.xlsx</v>
      </c>
      <c r="D38" t="str">
        <f t="shared" ca="1" si="17"/>
        <v>E:\加盟账单\2019账单\2019年07月\商品\账单\29059.xlsx</v>
      </c>
      <c r="E38" t="s">
        <v>342</v>
      </c>
      <c r="F38" s="80" t="str">
        <f>VLOOKUP(A:A,邮箱!$A$4:$H$155,8,0)</f>
        <v>153655663@qq.com</v>
      </c>
      <c r="H38" t="b">
        <f t="shared" ref="H38" si="20">E38=F38</f>
        <v>1</v>
      </c>
    </row>
    <row r="39" spans="1:8" ht="15.75" thickTop="1" thickBot="1" x14ac:dyDescent="0.25">
      <c r="A39" s="45" t="s">
        <v>1007</v>
      </c>
      <c r="B39" t="s">
        <v>348</v>
      </c>
      <c r="C39" t="str">
        <f t="shared" ca="1" si="16"/>
        <v>Copy E:\加盟账单\2019账单\2019年07月\商品\账单\模型v1.0.xlsx E:\加盟账单\2019账单\2019年07月\商品\账单\29067.xlsx</v>
      </c>
      <c r="D39" t="str">
        <f t="shared" ca="1" si="17"/>
        <v>E:\加盟账单\2019账单\2019年07月\商品\账单\29067.xlsx</v>
      </c>
      <c r="E39" t="s">
        <v>350</v>
      </c>
      <c r="F39" s="80" t="e">
        <f>VLOOKUP(A:A,邮箱!$A$4:$H$155,8,0)</f>
        <v>#N/A</v>
      </c>
      <c r="H39" t="e">
        <f>E39=F39</f>
        <v>#N/A</v>
      </c>
    </row>
    <row r="40" spans="1:8" ht="15.75" thickTop="1" thickBot="1" x14ac:dyDescent="0.25">
      <c r="A40" s="45" t="s">
        <v>878</v>
      </c>
      <c r="B40" t="s">
        <v>354</v>
      </c>
      <c r="C40" t="str">
        <f t="shared" ca="1" si="16"/>
        <v>Copy E:\加盟账单\2019账单\2019年07月\商品\账单\模型v1.0.xlsx E:\加盟账单\2019账单\2019年07月\商品\账单\29069.xlsx</v>
      </c>
      <c r="D40" t="str">
        <f t="shared" ca="1" si="17"/>
        <v>E:\加盟账单\2019账单\2019年07月\商品\账单\29069.xlsx</v>
      </c>
      <c r="E40" t="s">
        <v>356</v>
      </c>
      <c r="F40" s="80" t="str">
        <f>VLOOKUP(A:A,邮箱!$A$4:$H$155,8,0)</f>
        <v>373787742@qq.com</v>
      </c>
      <c r="H40" t="b">
        <f t="shared" ref="H40" si="21">E40=F40</f>
        <v>1</v>
      </c>
    </row>
    <row r="41" spans="1:8" ht="15.75" thickTop="1" thickBot="1" x14ac:dyDescent="0.25">
      <c r="A41" s="45" t="s">
        <v>879</v>
      </c>
      <c r="B41" t="s">
        <v>358</v>
      </c>
      <c r="C41" t="str">
        <f t="shared" ca="1" si="16"/>
        <v>Copy E:\加盟账单\2019账单\2019年07月\商品\账单\模型v1.0.xlsx E:\加盟账单\2019账单\2019年07月\商品\账单\29071.xlsx</v>
      </c>
      <c r="D41" t="str">
        <f t="shared" ca="1" si="17"/>
        <v>E:\加盟账单\2019账单\2019年07月\商品\账单\29071.xlsx</v>
      </c>
      <c r="E41" t="s">
        <v>360</v>
      </c>
      <c r="F41" s="80" t="str">
        <f>VLOOKUP(A:A,邮箱!$A$4:$H$155,8,0)</f>
        <v>471666050@qq.com</v>
      </c>
      <c r="H41" t="b">
        <f>E41=F41</f>
        <v>1</v>
      </c>
    </row>
    <row r="42" spans="1:8" ht="15.75" thickTop="1" thickBot="1" x14ac:dyDescent="0.25">
      <c r="A42" s="45" t="s">
        <v>880</v>
      </c>
      <c r="B42" t="s">
        <v>361</v>
      </c>
      <c r="C42" t="str">
        <f t="shared" ca="1" si="16"/>
        <v>Copy E:\加盟账单\2019账单\2019年07月\商品\账单\模型v1.0.xlsx E:\加盟账单\2019账单\2019年07月\商品\账单\29072.xlsx</v>
      </c>
      <c r="D42" t="str">
        <f t="shared" ca="1" si="17"/>
        <v>E:\加盟账单\2019账单\2019年07月\商品\账单\29072.xlsx</v>
      </c>
      <c r="E42" t="s">
        <v>339</v>
      </c>
      <c r="F42" s="80" t="str">
        <f>VLOOKUP(A:A,邮箱!$A$4:$H$155,8,0)</f>
        <v>981077565@qq.com</v>
      </c>
      <c r="H42" t="b">
        <f t="shared" ref="H42" si="22">E42=F42</f>
        <v>1</v>
      </c>
    </row>
    <row r="43" spans="1:8" ht="15.75" thickTop="1" thickBot="1" x14ac:dyDescent="0.25">
      <c r="A43" s="45" t="s">
        <v>881</v>
      </c>
      <c r="B43" t="s">
        <v>364</v>
      </c>
      <c r="C43" t="str">
        <f t="shared" ca="1" si="16"/>
        <v>Copy E:\加盟账单\2019账单\2019年07月\商品\账单\模型v1.0.xlsx E:\加盟账单\2019账单\2019年07月\商品\账单\29073.xlsx</v>
      </c>
      <c r="D43" t="str">
        <f t="shared" ca="1" si="17"/>
        <v>E:\加盟账单\2019账单\2019年07月\商品\账单\29073.xlsx</v>
      </c>
      <c r="E43" t="s">
        <v>367</v>
      </c>
      <c r="F43" s="80" t="str">
        <f>VLOOKUP(A:A,邮箱!$A$4:$H$155,8,0)</f>
        <v>944121463@qq.com</v>
      </c>
      <c r="H43" t="b">
        <f>E43=F43</f>
        <v>1</v>
      </c>
    </row>
    <row r="44" spans="1:8" ht="15.75" thickTop="1" thickBot="1" x14ac:dyDescent="0.25">
      <c r="A44" s="45" t="s">
        <v>882</v>
      </c>
      <c r="B44" t="s">
        <v>368</v>
      </c>
      <c r="C44" t="str">
        <f t="shared" ca="1" si="16"/>
        <v>Copy E:\加盟账单\2019账单\2019年07月\商品\账单\模型v1.0.xlsx E:\加盟账单\2019账单\2019年07月\商品\账单\29074.xlsx</v>
      </c>
      <c r="D44" t="str">
        <f t="shared" ca="1" si="17"/>
        <v>E:\加盟账单\2019账单\2019年07月\商品\账单\29074.xlsx</v>
      </c>
      <c r="E44" t="s">
        <v>216</v>
      </c>
      <c r="F44" s="80" t="str">
        <f>VLOOKUP(A:A,邮箱!$A$4:$H$155,8,0)</f>
        <v>2995096216@qq.com</v>
      </c>
      <c r="H44" t="b">
        <f t="shared" ref="H44" si="23">E44=F44</f>
        <v>1</v>
      </c>
    </row>
    <row r="45" spans="1:8" ht="15.75" thickTop="1" thickBot="1" x14ac:dyDescent="0.25">
      <c r="A45" s="45" t="s">
        <v>883</v>
      </c>
      <c r="B45" t="s">
        <v>370</v>
      </c>
      <c r="C45" t="str">
        <f t="shared" ca="1" si="16"/>
        <v>Copy E:\加盟账单\2019账单\2019年07月\商品\账单\模型v1.0.xlsx E:\加盟账单\2019账单\2019年07月\商品\账单\29075.xlsx</v>
      </c>
      <c r="D45" t="str">
        <f t="shared" ca="1" si="17"/>
        <v>E:\加盟账单\2019账单\2019年07月\商品\账单\29075.xlsx</v>
      </c>
      <c r="E45" t="s">
        <v>372</v>
      </c>
      <c r="F45" s="80" t="str">
        <f>VLOOKUP(A:A,邮箱!$A$4:$H$155,8,0)</f>
        <v>659348210@qq.com</v>
      </c>
      <c r="H45" t="b">
        <f>E45=F45</f>
        <v>1</v>
      </c>
    </row>
    <row r="46" spans="1:8" ht="15.75" thickTop="1" thickBot="1" x14ac:dyDescent="0.25">
      <c r="A46" s="45" t="s">
        <v>884</v>
      </c>
      <c r="B46" t="s">
        <v>373</v>
      </c>
      <c r="C46" t="str">
        <f t="shared" ca="1" si="16"/>
        <v>Copy E:\加盟账单\2019账单\2019年07月\商品\账单\模型v1.0.xlsx E:\加盟账单\2019账单\2019年07月\商品\账单\29076.xlsx</v>
      </c>
      <c r="D46" t="str">
        <f t="shared" ca="1" si="17"/>
        <v>E:\加盟账单\2019账单\2019年07月\商品\账单\29076.xlsx</v>
      </c>
      <c r="E46" t="s">
        <v>376</v>
      </c>
      <c r="F46" s="80" t="str">
        <f>VLOOKUP(A:A,邮箱!$A$4:$H$155,8,0)</f>
        <v>342633014@qq.com</v>
      </c>
      <c r="H46" t="b">
        <f t="shared" ref="H46" si="24">E46=F46</f>
        <v>1</v>
      </c>
    </row>
    <row r="47" spans="1:8" ht="15.75" thickTop="1" thickBot="1" x14ac:dyDescent="0.25">
      <c r="A47" s="45" t="s">
        <v>885</v>
      </c>
      <c r="B47" t="s">
        <v>379</v>
      </c>
      <c r="C47" t="str">
        <f t="shared" ca="1" si="16"/>
        <v>Copy E:\加盟账单\2019账单\2019年07月\商品\账单\模型v1.0.xlsx E:\加盟账单\2019账单\2019年07月\商品\账单\29084.xlsx</v>
      </c>
      <c r="D47" t="str">
        <f t="shared" ca="1" si="17"/>
        <v>E:\加盟账单\2019账单\2019年07月\商品\账单\29084.xlsx</v>
      </c>
      <c r="E47" t="s">
        <v>381</v>
      </c>
      <c r="F47" s="80" t="str">
        <f>VLOOKUP(A:A,邮箱!$A$4:$H$155,8,0)</f>
        <v>764876545@qq.com</v>
      </c>
      <c r="H47" t="b">
        <f>E47=F47</f>
        <v>1</v>
      </c>
    </row>
    <row r="48" spans="1:8" ht="15.75" thickTop="1" thickBot="1" x14ac:dyDescent="0.25">
      <c r="A48" s="45" t="s">
        <v>886</v>
      </c>
      <c r="B48" t="s">
        <v>382</v>
      </c>
      <c r="C48" t="str">
        <f t="shared" ca="1" si="16"/>
        <v>Copy E:\加盟账单\2019账单\2019年07月\商品\账单\模型v1.0.xlsx E:\加盟账单\2019账单\2019年07月\商品\账单\29085.xlsx</v>
      </c>
      <c r="D48" t="str">
        <f t="shared" ca="1" si="17"/>
        <v>E:\加盟账单\2019账单\2019年07月\商品\账单\29085.xlsx</v>
      </c>
      <c r="E48" t="s">
        <v>385</v>
      </c>
      <c r="F48" s="80" t="str">
        <f>VLOOKUP(A:A,邮箱!$A$4:$H$155,8,0)</f>
        <v>837427116@qq.com</v>
      </c>
      <c r="H48" t="b">
        <f t="shared" ref="H48" si="25">E48=F48</f>
        <v>1</v>
      </c>
    </row>
    <row r="49" spans="1:8" ht="15.75" thickTop="1" thickBot="1" x14ac:dyDescent="0.25">
      <c r="A49" s="45" t="s">
        <v>887</v>
      </c>
      <c r="B49" t="s">
        <v>386</v>
      </c>
      <c r="C49" t="str">
        <f t="shared" ca="1" si="16"/>
        <v>Copy E:\加盟账单\2019账单\2019年07月\商品\账单\模型v1.0.xlsx E:\加盟账单\2019账单\2019年07月\商品\账单\29086.xlsx</v>
      </c>
      <c r="D49" t="str">
        <f t="shared" ca="1" si="17"/>
        <v>E:\加盟账单\2019账单\2019年07月\商品\账单\29086.xlsx</v>
      </c>
      <c r="E49" t="s">
        <v>389</v>
      </c>
      <c r="F49" s="80" t="str">
        <f>VLOOKUP(A:A,邮箱!$A$4:$H$155,8,0)</f>
        <v>1009271267@qq.com</v>
      </c>
      <c r="H49" t="b">
        <f>E49=F49</f>
        <v>1</v>
      </c>
    </row>
    <row r="50" spans="1:8" ht="15.75" thickTop="1" thickBot="1" x14ac:dyDescent="0.25">
      <c r="A50" s="45" t="s">
        <v>888</v>
      </c>
      <c r="B50" t="s">
        <v>391</v>
      </c>
      <c r="C50" t="str">
        <f t="shared" ca="1" si="16"/>
        <v>Copy E:\加盟账单\2019账单\2019年07月\商品\账单\模型v1.0.xlsx E:\加盟账单\2019账单\2019年07月\商品\账单\29087.xlsx</v>
      </c>
      <c r="D50" t="str">
        <f t="shared" ca="1" si="17"/>
        <v>E:\加盟账单\2019账单\2019年07月\商品\账单\29087.xlsx</v>
      </c>
      <c r="E50" t="s">
        <v>353</v>
      </c>
      <c r="F50" s="80" t="str">
        <f>VLOOKUP(A:A,邮箱!$A$4:$H$155,8,0)</f>
        <v>85640290@qq.com</v>
      </c>
      <c r="H50" t="b">
        <f t="shared" ref="H50" si="26">E50=F50</f>
        <v>1</v>
      </c>
    </row>
    <row r="51" spans="1:8" ht="15.75" thickTop="1" thickBot="1" x14ac:dyDescent="0.25">
      <c r="A51" s="45" t="s">
        <v>889</v>
      </c>
      <c r="B51" t="s">
        <v>393</v>
      </c>
      <c r="C51" t="str">
        <f t="shared" ca="1" si="16"/>
        <v>Copy E:\加盟账单\2019账单\2019年07月\商品\账单\模型v1.0.xlsx E:\加盟账单\2019账单\2019年07月\商品\账单\29088.xlsx</v>
      </c>
      <c r="D51" t="str">
        <f t="shared" ca="1" si="17"/>
        <v>E:\加盟账单\2019账单\2019年07月\商品\账单\29088.xlsx</v>
      </c>
      <c r="E51" t="s">
        <v>381</v>
      </c>
      <c r="F51" s="80" t="str">
        <f>VLOOKUP(A:A,邮箱!$A$4:$H$155,8,0)</f>
        <v>764876545@qq.com</v>
      </c>
      <c r="H51" t="b">
        <f>E51=F51</f>
        <v>1</v>
      </c>
    </row>
    <row r="52" spans="1:8" ht="15.75" thickTop="1" thickBot="1" x14ac:dyDescent="0.25">
      <c r="A52" s="45" t="s">
        <v>890</v>
      </c>
      <c r="B52" t="s">
        <v>396</v>
      </c>
      <c r="C52" t="str">
        <f t="shared" ca="1" si="16"/>
        <v>Copy E:\加盟账单\2019账单\2019年07月\商品\账单\模型v1.0.xlsx E:\加盟账单\2019账单\2019年07月\商品\账单\29089.xlsx</v>
      </c>
      <c r="D52" t="str">
        <f t="shared" ca="1" si="17"/>
        <v>E:\加盟账单\2019账单\2019年07月\商品\账单\29089.xlsx</v>
      </c>
      <c r="E52" t="s">
        <v>399</v>
      </c>
      <c r="F52" s="80" t="str">
        <f>VLOOKUP(A:A,邮箱!$A$4:$H$155,8,0)</f>
        <v>317328845@qq.com</v>
      </c>
      <c r="H52" t="b">
        <f t="shared" ref="H52" si="27">E52=F52</f>
        <v>1</v>
      </c>
    </row>
    <row r="53" spans="1:8" ht="15.75" thickTop="1" thickBot="1" x14ac:dyDescent="0.25">
      <c r="A53" s="45" t="s">
        <v>891</v>
      </c>
      <c r="B53" t="s">
        <v>400</v>
      </c>
      <c r="C53" t="str">
        <f t="shared" ca="1" si="16"/>
        <v>Copy E:\加盟账单\2019账单\2019年07月\商品\账单\模型v1.0.xlsx E:\加盟账单\2019账单\2019年07月\商品\账单\29090.xlsx</v>
      </c>
      <c r="D53" t="str">
        <f t="shared" ca="1" si="17"/>
        <v>E:\加盟账单\2019账单\2019年07月\商品\账单\29090.xlsx</v>
      </c>
      <c r="E53" t="s">
        <v>401</v>
      </c>
      <c r="F53" s="80" t="str">
        <f>VLOOKUP(A:A,邮箱!$A$4:$H$155,8,0)</f>
        <v>34326164@qq.com</v>
      </c>
      <c r="H53" t="b">
        <f t="shared" ref="H53" si="28">E53=F53</f>
        <v>1</v>
      </c>
    </row>
    <row r="54" spans="1:8" ht="15.75" thickTop="1" thickBot="1" x14ac:dyDescent="0.25">
      <c r="A54" s="45" t="s">
        <v>892</v>
      </c>
      <c r="B54" t="s">
        <v>402</v>
      </c>
      <c r="C54" t="str">
        <f t="shared" ca="1" si="16"/>
        <v>Copy E:\加盟账单\2019账单\2019年07月\商品\账单\模型v1.0.xlsx E:\加盟账单\2019账单\2019年07月\商品\账单\29091.xlsx</v>
      </c>
      <c r="D54" t="str">
        <f t="shared" ca="1" si="17"/>
        <v>E:\加盟账单\2019账单\2019年07月\商品\账单\29091.xlsx</v>
      </c>
      <c r="E54" t="s">
        <v>405</v>
      </c>
      <c r="F54" s="80" t="str">
        <f>VLOOKUP(A:A,邮箱!$A$4:$H$155,8,0)</f>
        <v>641249379@qq.com</v>
      </c>
      <c r="H54" t="b">
        <f>E54=F54</f>
        <v>1</v>
      </c>
    </row>
    <row r="55" spans="1:8" ht="15.75" thickTop="1" thickBot="1" x14ac:dyDescent="0.25">
      <c r="A55" s="45" t="s">
        <v>893</v>
      </c>
      <c r="B55" t="s">
        <v>406</v>
      </c>
      <c r="C55" t="str">
        <f t="shared" ca="1" si="16"/>
        <v>Copy E:\加盟账单\2019账单\2019年07月\商品\账单\模型v1.0.xlsx E:\加盟账单\2019账单\2019年07月\商品\账单\29092.xlsx</v>
      </c>
      <c r="D55" t="str">
        <f t="shared" ca="1" si="17"/>
        <v>E:\加盟账单\2019账单\2019年07月\商品\账单\29092.xlsx</v>
      </c>
      <c r="E55" t="s">
        <v>409</v>
      </c>
      <c r="F55" s="80" t="str">
        <f>VLOOKUP(A:A,邮箱!$A$4:$H$155,8,0)</f>
        <v>78185462@qq.com</v>
      </c>
      <c r="H55" t="b">
        <f t="shared" ref="H55" si="29">E55=F55</f>
        <v>1</v>
      </c>
    </row>
    <row r="56" spans="1:8" ht="15.75" thickTop="1" thickBot="1" x14ac:dyDescent="0.25">
      <c r="A56" s="45" t="s">
        <v>894</v>
      </c>
      <c r="B56" t="s">
        <v>410</v>
      </c>
      <c r="C56" t="str">
        <f t="shared" ca="1" si="16"/>
        <v>Copy E:\加盟账单\2019账单\2019年07月\商品\账单\模型v1.0.xlsx E:\加盟账单\2019账单\2019年07月\商品\账单\29095.xlsx</v>
      </c>
      <c r="D56" t="str">
        <f t="shared" ca="1" si="17"/>
        <v>E:\加盟账单\2019账单\2019年07月\商品\账单\29095.xlsx</v>
      </c>
      <c r="E56" t="s">
        <v>413</v>
      </c>
      <c r="F56" s="80" t="str">
        <f>VLOOKUP(A:A,邮箱!$A$4:$H$155,8,0)</f>
        <v>438013350@qq.com</v>
      </c>
      <c r="H56" t="b">
        <f>E56=F56</f>
        <v>1</v>
      </c>
    </row>
    <row r="57" spans="1:8" ht="15.75" thickTop="1" thickBot="1" x14ac:dyDescent="0.25">
      <c r="A57" s="45" t="s">
        <v>895</v>
      </c>
      <c r="B57" t="s">
        <v>421</v>
      </c>
      <c r="C57" t="str">
        <f t="shared" ca="1" si="16"/>
        <v>Copy E:\加盟账单\2019账单\2019年07月\商品\账单\模型v1.0.xlsx E:\加盟账单\2019账单\2019年07月\商品\账单\29097.xlsx</v>
      </c>
      <c r="D57" t="str">
        <f t="shared" ca="1" si="17"/>
        <v>E:\加盟账单\2019账单\2019年07月\商品\账单\29097.xlsx</v>
      </c>
      <c r="E57" t="s">
        <v>424</v>
      </c>
      <c r="F57" s="80" t="str">
        <f>VLOOKUP(A:A,邮箱!$A$4:$H$155,8,0)</f>
        <v>1806913916@qq.com</v>
      </c>
      <c r="H57" t="b">
        <f t="shared" ref="H57" si="30">E57=F57</f>
        <v>1</v>
      </c>
    </row>
    <row r="58" spans="1:8" ht="15.75" thickTop="1" thickBot="1" x14ac:dyDescent="0.25">
      <c r="A58" s="45" t="s">
        <v>896</v>
      </c>
      <c r="B58" t="s">
        <v>425</v>
      </c>
      <c r="C58" t="str">
        <f t="shared" ca="1" si="16"/>
        <v>Copy E:\加盟账单\2019账单\2019年07月\商品\账单\模型v1.0.xlsx E:\加盟账单\2019账单\2019年07月\商品\账单\29098.xlsx</v>
      </c>
      <c r="D58" t="str">
        <f t="shared" ca="1" si="17"/>
        <v>E:\加盟账单\2019账单\2019年07月\商品\账单\29098.xlsx</v>
      </c>
      <c r="E58" t="s">
        <v>428</v>
      </c>
      <c r="F58" s="80" t="str">
        <f>VLOOKUP(A:A,邮箱!$A$4:$H$155,8,0)</f>
        <v>2071749773@qq.com</v>
      </c>
      <c r="H58" t="b">
        <f>E58=F58</f>
        <v>1</v>
      </c>
    </row>
    <row r="59" spans="1:8" ht="15.75" thickTop="1" thickBot="1" x14ac:dyDescent="0.25">
      <c r="A59" s="45" t="s">
        <v>897</v>
      </c>
      <c r="B59" t="s">
        <v>435</v>
      </c>
      <c r="C59" t="str">
        <f t="shared" ca="1" si="16"/>
        <v>Copy E:\加盟账单\2019账单\2019年07月\商品\账单\模型v1.0.xlsx E:\加盟账单\2019账单\2019年07月\商品\账单\29100.xlsx</v>
      </c>
      <c r="D59" t="str">
        <f t="shared" ca="1" si="17"/>
        <v>E:\加盟账单\2019账单\2019年07月\商品\账单\29100.xlsx</v>
      </c>
      <c r="E59" t="s">
        <v>438</v>
      </c>
      <c r="F59" s="80" t="str">
        <f>VLOOKUP(A:A,邮箱!$A$4:$H$155,8,0)</f>
        <v>65055505@qq.com</v>
      </c>
      <c r="H59" t="b">
        <f t="shared" ref="H59" si="31">E59=F59</f>
        <v>1</v>
      </c>
    </row>
    <row r="60" spans="1:8" ht="15.75" thickTop="1" thickBot="1" x14ac:dyDescent="0.25">
      <c r="A60" s="45" t="s">
        <v>898</v>
      </c>
      <c r="B60" t="s">
        <v>452</v>
      </c>
      <c r="C60" t="str">
        <f t="shared" ca="1" si="16"/>
        <v>Copy E:\加盟账单\2019账单\2019年07月\商品\账单\模型v1.0.xlsx E:\加盟账单\2019账单\2019年07月\商品\账单\29104.xlsx</v>
      </c>
      <c r="D60" t="str">
        <f t="shared" ca="1" si="17"/>
        <v>E:\加盟账单\2019账单\2019年07月\商品\账单\29104.xlsx</v>
      </c>
      <c r="E60" t="s">
        <v>455</v>
      </c>
      <c r="F60" s="80" t="str">
        <f>VLOOKUP(A:A,邮箱!$A$4:$H$155,8,0)</f>
        <v>742822279@qq.com</v>
      </c>
      <c r="H60" t="b">
        <f>E60=F60</f>
        <v>1</v>
      </c>
    </row>
    <row r="61" spans="1:8" ht="15.75" thickTop="1" thickBot="1" x14ac:dyDescent="0.25">
      <c r="A61" s="45" t="s">
        <v>899</v>
      </c>
      <c r="B61" t="s">
        <v>457</v>
      </c>
      <c r="C61" t="str">
        <f t="shared" ca="1" si="16"/>
        <v>Copy E:\加盟账单\2019账单\2019年07月\商品\账单\模型v1.0.xlsx E:\加盟账单\2019账单\2019年07月\商品\账单\29105.xlsx</v>
      </c>
      <c r="D61" t="str">
        <f t="shared" ca="1" si="17"/>
        <v>E:\加盟账单\2019账单\2019年07月\商品\账单\29105.xlsx</v>
      </c>
      <c r="E61" t="s">
        <v>460</v>
      </c>
      <c r="F61" s="80" t="str">
        <f>VLOOKUP(A:A,邮箱!$A$4:$H$155,8,0)</f>
        <v>249368505@qq.com</v>
      </c>
      <c r="H61" t="b">
        <f t="shared" ref="H61" si="32">E61=F61</f>
        <v>1</v>
      </c>
    </row>
    <row r="62" spans="1:8" ht="15.75" thickTop="1" thickBot="1" x14ac:dyDescent="0.25">
      <c r="A62" s="45" t="s">
        <v>900</v>
      </c>
      <c r="B62" t="s">
        <v>461</v>
      </c>
      <c r="C62" t="str">
        <f t="shared" ca="1" si="16"/>
        <v>Copy E:\加盟账单\2019账单\2019年07月\商品\账单\模型v1.0.xlsx E:\加盟账单\2019账单\2019年07月\商品\账单\29106.xlsx</v>
      </c>
      <c r="D62" t="str">
        <f t="shared" ca="1" si="17"/>
        <v>E:\加盟账单\2019账单\2019年07月\商品\账单\29106.xlsx</v>
      </c>
      <c r="E62" t="s">
        <v>381</v>
      </c>
      <c r="F62" s="80" t="str">
        <f>VLOOKUP(A:A,邮箱!$A$4:$H$155,8,0)</f>
        <v>764876545@qq.com</v>
      </c>
      <c r="H62" t="b">
        <f>E62=F62</f>
        <v>1</v>
      </c>
    </row>
    <row r="63" spans="1:8" ht="15.75" thickTop="1" thickBot="1" x14ac:dyDescent="0.25">
      <c r="A63" s="45" t="s">
        <v>901</v>
      </c>
      <c r="B63" t="s">
        <v>462</v>
      </c>
      <c r="C63" t="str">
        <f t="shared" ca="1" si="16"/>
        <v>Copy E:\加盟账单\2019账单\2019年07月\商品\账单\模型v1.0.xlsx E:\加盟账单\2019账单\2019年07月\商品\账单\29107.xlsx</v>
      </c>
      <c r="D63" t="str">
        <f t="shared" ca="1" si="17"/>
        <v>E:\加盟账单\2019账单\2019年07月\商品\账单\29107.xlsx</v>
      </c>
      <c r="E63" t="s">
        <v>381</v>
      </c>
      <c r="F63" s="80" t="str">
        <f>VLOOKUP(A:A,邮箱!$A$4:$H$155,8,0)</f>
        <v>764876545@qq.com</v>
      </c>
      <c r="H63" t="b">
        <f t="shared" ref="H63" si="33">E63=F63</f>
        <v>1</v>
      </c>
    </row>
    <row r="64" spans="1:8" ht="15.75" thickTop="1" thickBot="1" x14ac:dyDescent="0.25">
      <c r="A64" s="45" t="s">
        <v>902</v>
      </c>
      <c r="B64" t="s">
        <v>463</v>
      </c>
      <c r="C64" t="str">
        <f t="shared" ca="1" si="16"/>
        <v>Copy E:\加盟账单\2019账单\2019年07月\商品\账单\模型v1.0.xlsx E:\加盟账单\2019账单\2019年07月\商品\账单\29111.xlsx</v>
      </c>
      <c r="D64" t="str">
        <f t="shared" ca="1" si="17"/>
        <v>E:\加盟账单\2019账单\2019年07月\商品\账单\29111.xlsx</v>
      </c>
      <c r="E64" t="s">
        <v>466</v>
      </c>
      <c r="F64" s="80" t="str">
        <f>VLOOKUP(A:A,邮箱!$A$4:$H$155,8,0)</f>
        <v>489616468@qq.com</v>
      </c>
      <c r="H64" t="b">
        <f>E64=F64</f>
        <v>1</v>
      </c>
    </row>
    <row r="65" spans="1:8" ht="15.75" thickTop="1" thickBot="1" x14ac:dyDescent="0.25">
      <c r="A65" s="45" t="s">
        <v>903</v>
      </c>
      <c r="B65" t="s">
        <v>467</v>
      </c>
      <c r="C65" t="str">
        <f t="shared" ca="1" si="16"/>
        <v>Copy E:\加盟账单\2019账单\2019年07月\商品\账单\模型v1.0.xlsx E:\加盟账单\2019账单\2019年07月\商品\账单\29112.xlsx</v>
      </c>
      <c r="D65" t="str">
        <f t="shared" ca="1" si="17"/>
        <v>E:\加盟账单\2019账单\2019年07月\商品\账单\29112.xlsx</v>
      </c>
      <c r="E65" t="s">
        <v>469</v>
      </c>
      <c r="F65" s="80" t="str">
        <f>VLOOKUP(A:A,邮箱!$A$4:$H$155,8,0)</f>
        <v>495388981@qq.com</v>
      </c>
      <c r="H65" t="b">
        <f t="shared" ref="H65" si="34">E65=F65</f>
        <v>1</v>
      </c>
    </row>
    <row r="66" spans="1:8" ht="15.75" thickTop="1" thickBot="1" x14ac:dyDescent="0.25">
      <c r="A66" s="45" t="s">
        <v>904</v>
      </c>
      <c r="B66" t="s">
        <v>470</v>
      </c>
      <c r="C66" t="str">
        <f t="shared" ref="C66:C97" ca="1" si="35">"Copy "&amp;$F$2&amp;"模型v1.0.xlsx "&amp;$F$2&amp;""&amp;A66&amp;".xlsx"</f>
        <v>Copy E:\加盟账单\2019账单\2019年07月\商品\账单\模型v1.0.xlsx E:\加盟账单\2019账单\2019年07月\商品\账单\29113.xlsx</v>
      </c>
      <c r="D66" t="str">
        <f t="shared" ref="D66:D97" ca="1" si="36">$F$2&amp;""&amp;A66&amp;".xlsx"</f>
        <v>E:\加盟账单\2019账单\2019年07月\商品\账单\29113.xlsx</v>
      </c>
      <c r="E66" t="s">
        <v>376</v>
      </c>
      <c r="F66" s="80" t="str">
        <f>VLOOKUP(A:A,邮箱!$A$4:$H$155,8,0)</f>
        <v>342633014@qq.com</v>
      </c>
      <c r="H66" t="b">
        <f>E66=F66</f>
        <v>1</v>
      </c>
    </row>
    <row r="67" spans="1:8" ht="15.75" thickTop="1" thickBot="1" x14ac:dyDescent="0.25">
      <c r="A67" s="45" t="s">
        <v>905</v>
      </c>
      <c r="B67" t="s">
        <v>473</v>
      </c>
      <c r="C67" t="str">
        <f t="shared" ca="1" si="35"/>
        <v>Copy E:\加盟账单\2019账单\2019年07月\商品\账单\模型v1.0.xlsx E:\加盟账单\2019账单\2019年07月\商品\账单\29114.xlsx</v>
      </c>
      <c r="D67" t="str">
        <f t="shared" ca="1" si="36"/>
        <v>E:\加盟账单\2019账单\2019年07月\商品\账单\29114.xlsx</v>
      </c>
      <c r="E67" t="s">
        <v>475</v>
      </c>
      <c r="F67" s="80" t="str">
        <f>VLOOKUP(A:A,邮箱!$A$4:$H$155,8,0)</f>
        <v>250571682@qq.com</v>
      </c>
      <c r="H67" t="b">
        <f t="shared" ref="H67" si="37">E67=F67</f>
        <v>1</v>
      </c>
    </row>
    <row r="68" spans="1:8" ht="15.75" thickTop="1" thickBot="1" x14ac:dyDescent="0.25">
      <c r="A68" s="45" t="s">
        <v>906</v>
      </c>
      <c r="B68" t="s">
        <v>477</v>
      </c>
      <c r="C68" t="str">
        <f t="shared" ca="1" si="35"/>
        <v>Copy E:\加盟账单\2019账单\2019年07月\商品\账单\模型v1.0.xlsx E:\加盟账单\2019账单\2019年07月\商品\账单\29115.xlsx</v>
      </c>
      <c r="D68" t="str">
        <f t="shared" ca="1" si="36"/>
        <v>E:\加盟账单\2019账单\2019年07月\商品\账单\29115.xlsx</v>
      </c>
      <c r="E68" t="s">
        <v>478</v>
      </c>
      <c r="F68" s="80" t="str">
        <f>VLOOKUP(A:A,邮箱!$A$4:$H$155,8,0)</f>
        <v>1124999758@qq.com</v>
      </c>
      <c r="H68" t="b">
        <f>E68=F68</f>
        <v>1</v>
      </c>
    </row>
    <row r="69" spans="1:8" ht="15.75" thickTop="1" thickBot="1" x14ac:dyDescent="0.25">
      <c r="A69" s="45" t="s">
        <v>907</v>
      </c>
      <c r="B69" t="s">
        <v>1026</v>
      </c>
      <c r="C69" t="str">
        <f t="shared" ca="1" si="35"/>
        <v>Copy E:\加盟账单\2019账单\2019年07月\商品\账单\模型v1.0.xlsx E:\加盟账单\2019账单\2019年07月\商品\账单\29116.xlsx</v>
      </c>
      <c r="D69" t="str">
        <f t="shared" ca="1" si="36"/>
        <v>E:\加盟账单\2019账单\2019年07月\商品\账单\29116.xlsx</v>
      </c>
      <c r="E69" t="s">
        <v>481</v>
      </c>
      <c r="F69" s="80" t="str">
        <f>VLOOKUP(A:A,邮箱!$A$4:$H$155,8,0)</f>
        <v>1685515330@qq.com</v>
      </c>
      <c r="H69" t="b">
        <f t="shared" ref="H69" si="38">E69=F69</f>
        <v>1</v>
      </c>
    </row>
    <row r="70" spans="1:8" ht="15.75" thickTop="1" thickBot="1" x14ac:dyDescent="0.25">
      <c r="A70" s="45" t="s">
        <v>908</v>
      </c>
      <c r="B70" t="s">
        <v>484</v>
      </c>
      <c r="C70" t="str">
        <f t="shared" ca="1" si="35"/>
        <v>Copy E:\加盟账单\2019账单\2019年07月\商品\账单\模型v1.0.xlsx E:\加盟账单\2019账单\2019年07月\商品\账单\29118.xlsx</v>
      </c>
      <c r="D70" t="str">
        <f t="shared" ca="1" si="36"/>
        <v>E:\加盟账单\2019账单\2019年07月\商品\账单\29118.xlsx</v>
      </c>
      <c r="E70" t="s">
        <v>486</v>
      </c>
      <c r="F70" s="80" t="str">
        <f>VLOOKUP(A:A,邮箱!$A$4:$H$155,8,0)</f>
        <v>qxl15938880379@126.com</v>
      </c>
      <c r="H70" t="b">
        <f t="shared" ref="H70" si="39">E70=F70</f>
        <v>1</v>
      </c>
    </row>
    <row r="71" spans="1:8" ht="15.75" thickTop="1" thickBot="1" x14ac:dyDescent="0.25">
      <c r="A71" s="45" t="s">
        <v>909</v>
      </c>
      <c r="B71" t="s">
        <v>488</v>
      </c>
      <c r="C71" t="str">
        <f t="shared" ca="1" si="35"/>
        <v>Copy E:\加盟账单\2019账单\2019年07月\商品\账单\模型v1.0.xlsx E:\加盟账单\2019账单\2019年07月\商品\账单\29119.xlsx</v>
      </c>
      <c r="D71" t="str">
        <f t="shared" ca="1" si="36"/>
        <v>E:\加盟账单\2019账单\2019年07月\商品\账单\29119.xlsx</v>
      </c>
      <c r="E71" t="s">
        <v>490</v>
      </c>
      <c r="F71" s="80" t="str">
        <f>VLOOKUP(A:A,邮箱!$A$4:$H$155,8,0)</f>
        <v>445466962@qq.com</v>
      </c>
      <c r="H71" t="b">
        <f>E71=F71</f>
        <v>1</v>
      </c>
    </row>
    <row r="72" spans="1:8" ht="15.75" thickTop="1" thickBot="1" x14ac:dyDescent="0.25">
      <c r="A72" s="45" t="s">
        <v>910</v>
      </c>
      <c r="B72" t="s">
        <v>491</v>
      </c>
      <c r="C72" t="str">
        <f t="shared" ca="1" si="35"/>
        <v>Copy E:\加盟账单\2019账单\2019年07月\商品\账单\模型v1.0.xlsx E:\加盟账单\2019账单\2019年07月\商品\账单\29121.xlsx</v>
      </c>
      <c r="D72" t="str">
        <f t="shared" ca="1" si="36"/>
        <v>E:\加盟账单\2019账单\2019年07月\商品\账单\29121.xlsx</v>
      </c>
      <c r="E72" t="s">
        <v>493</v>
      </c>
      <c r="F72" s="80" t="str">
        <f>VLOOKUP(A:A,邮箱!$A$4:$H$155,8,0)</f>
        <v>1124675343@qq.com</v>
      </c>
      <c r="H72" t="b">
        <f t="shared" ref="H72" si="40">E72=F72</f>
        <v>1</v>
      </c>
    </row>
    <row r="73" spans="1:8" ht="15.75" thickTop="1" thickBot="1" x14ac:dyDescent="0.25">
      <c r="A73" s="45" t="s">
        <v>911</v>
      </c>
      <c r="B73" t="s">
        <v>496</v>
      </c>
      <c r="C73" t="str">
        <f t="shared" ca="1" si="35"/>
        <v>Copy E:\加盟账单\2019账单\2019年07月\商品\账单\模型v1.0.xlsx E:\加盟账单\2019账单\2019年07月\商品\账单\29125.xlsx</v>
      </c>
      <c r="D73" t="str">
        <f t="shared" ca="1" si="36"/>
        <v>E:\加盟账单\2019账单\2019年07月\商品\账单\29125.xlsx</v>
      </c>
      <c r="E73" t="s">
        <v>836</v>
      </c>
      <c r="F73" s="80" t="str">
        <f>VLOOKUP(A:A,邮箱!$A$4:$H$155,8,0)</f>
        <v>dqx@bsdglasses.com</v>
      </c>
      <c r="H73" t="b">
        <f>E73=F73</f>
        <v>0</v>
      </c>
    </row>
    <row r="74" spans="1:8" ht="15.75" thickTop="1" thickBot="1" x14ac:dyDescent="0.25">
      <c r="A74" s="45" t="s">
        <v>912</v>
      </c>
      <c r="B74" t="s">
        <v>499</v>
      </c>
      <c r="C74" t="str">
        <f t="shared" ca="1" si="35"/>
        <v>Copy E:\加盟账单\2019账单\2019年07月\商品\账单\模型v1.0.xlsx E:\加盟账单\2019账单\2019年07月\商品\账单\29127.xlsx</v>
      </c>
      <c r="D74" t="str">
        <f t="shared" ca="1" si="36"/>
        <v>E:\加盟账单\2019账单\2019年07月\商品\账单\29127.xlsx</v>
      </c>
      <c r="E74" t="s">
        <v>501</v>
      </c>
      <c r="F74" s="80" t="str">
        <f>VLOOKUP(A:A,邮箱!$A$4:$H$155,8,0)</f>
        <v>36199643@qq.com</v>
      </c>
      <c r="H74" t="b">
        <f t="shared" ref="H74" si="41">E74=F74</f>
        <v>1</v>
      </c>
    </row>
    <row r="75" spans="1:8" ht="15.75" thickTop="1" thickBot="1" x14ac:dyDescent="0.25">
      <c r="A75" s="45" t="s">
        <v>913</v>
      </c>
      <c r="B75" t="s">
        <v>502</v>
      </c>
      <c r="C75" t="str">
        <f t="shared" ca="1" si="35"/>
        <v>Copy E:\加盟账单\2019账单\2019年07月\商品\账单\模型v1.0.xlsx E:\加盟账单\2019账单\2019年07月\商品\账单\29128.xlsx</v>
      </c>
      <c r="D75" t="str">
        <f t="shared" ca="1" si="36"/>
        <v>E:\加盟账单\2019账单\2019年07月\商品\账单\29128.xlsx</v>
      </c>
      <c r="E75" t="s">
        <v>504</v>
      </c>
      <c r="F75" s="80" t="str">
        <f>VLOOKUP(A:A,邮箱!$A$4:$H$155,8,0)</f>
        <v>874769045@qq.com</v>
      </c>
      <c r="H75" t="b">
        <f>E75=F75</f>
        <v>1</v>
      </c>
    </row>
    <row r="76" spans="1:8" ht="15.75" thickTop="1" thickBot="1" x14ac:dyDescent="0.25">
      <c r="A76" s="45" t="s">
        <v>914</v>
      </c>
      <c r="B76" t="s">
        <v>505</v>
      </c>
      <c r="C76" t="str">
        <f t="shared" ca="1" si="35"/>
        <v>Copy E:\加盟账单\2019账单\2019年07月\商品\账单\模型v1.0.xlsx E:\加盟账单\2019账单\2019年07月\商品\账单\29129.xlsx</v>
      </c>
      <c r="D76" t="str">
        <f t="shared" ca="1" si="36"/>
        <v>E:\加盟账单\2019账单\2019年07月\商品\账单\29129.xlsx</v>
      </c>
      <c r="E76" t="s">
        <v>507</v>
      </c>
      <c r="F76" s="80" t="str">
        <f>VLOOKUP(A:A,邮箱!$A$4:$H$155,8,0)</f>
        <v>47588205@qq.com</v>
      </c>
      <c r="H76" t="b">
        <f t="shared" ref="H76" si="42">E76=F76</f>
        <v>1</v>
      </c>
    </row>
    <row r="77" spans="1:8" ht="15.75" thickTop="1" thickBot="1" x14ac:dyDescent="0.25">
      <c r="A77" s="45" t="s">
        <v>915</v>
      </c>
      <c r="B77" t="s">
        <v>508</v>
      </c>
      <c r="C77" t="str">
        <f t="shared" ca="1" si="35"/>
        <v>Copy E:\加盟账单\2019账单\2019年07月\商品\账单\模型v1.0.xlsx E:\加盟账单\2019账单\2019年07月\商品\账单\29130.xlsx</v>
      </c>
      <c r="D77" t="str">
        <f t="shared" ca="1" si="36"/>
        <v>E:\加盟账单\2019账单\2019年07月\商品\账单\29130.xlsx</v>
      </c>
      <c r="E77" t="s">
        <v>510</v>
      </c>
      <c r="F77" s="80" t="str">
        <f>VLOOKUP(A:A,邮箱!$A$4:$H$155,8,0)</f>
        <v xml:space="preserve">361321658@qq.com </v>
      </c>
      <c r="H77" t="b">
        <f>E77=F77</f>
        <v>1</v>
      </c>
    </row>
    <row r="78" spans="1:8" ht="15.75" thickTop="1" thickBot="1" x14ac:dyDescent="0.25">
      <c r="A78" s="45" t="s">
        <v>916</v>
      </c>
      <c r="B78" t="s">
        <v>512</v>
      </c>
      <c r="C78" t="str">
        <f t="shared" ca="1" si="35"/>
        <v>Copy E:\加盟账单\2019账单\2019年07月\商品\账单\模型v1.0.xlsx E:\加盟账单\2019账单\2019年07月\商品\账单\29132.xlsx</v>
      </c>
      <c r="D78" t="str">
        <f t="shared" ca="1" si="36"/>
        <v>E:\加盟账单\2019账单\2019年07月\商品\账单\29132.xlsx</v>
      </c>
      <c r="E78" t="s">
        <v>514</v>
      </c>
      <c r="F78" s="80" t="str">
        <f>VLOOKUP(A:A,邮箱!$A$4:$H$155,8,0)</f>
        <v>86492578@qq.com</v>
      </c>
      <c r="H78" t="b">
        <f t="shared" ref="H78" si="43">E78=F78</f>
        <v>1</v>
      </c>
    </row>
    <row r="79" spans="1:8" ht="15.75" thickTop="1" thickBot="1" x14ac:dyDescent="0.25">
      <c r="A79" s="45" t="s">
        <v>917</v>
      </c>
      <c r="B79" t="s">
        <v>515</v>
      </c>
      <c r="C79" t="str">
        <f t="shared" ca="1" si="35"/>
        <v>Copy E:\加盟账单\2019账单\2019年07月\商品\账单\模型v1.0.xlsx E:\加盟账单\2019账单\2019年07月\商品\账单\29133.xlsx</v>
      </c>
      <c r="D79" t="str">
        <f t="shared" ca="1" si="36"/>
        <v>E:\加盟账单\2019账单\2019年07月\商品\账单\29133.xlsx</v>
      </c>
      <c r="E79" t="s">
        <v>517</v>
      </c>
      <c r="F79" s="80" t="str">
        <f>VLOOKUP(A:A,邮箱!$A$4:$H$155,8,0)</f>
        <v>1965672295@qq.com</v>
      </c>
      <c r="H79" t="b">
        <f>E79=F79</f>
        <v>1</v>
      </c>
    </row>
    <row r="80" spans="1:8" ht="15.75" thickTop="1" thickBot="1" x14ac:dyDescent="0.25">
      <c r="A80" s="45" t="s">
        <v>918</v>
      </c>
      <c r="B80" t="s">
        <v>777</v>
      </c>
      <c r="C80" t="str">
        <f t="shared" ca="1" si="35"/>
        <v>Copy E:\加盟账单\2019账单\2019年07月\商品\账单\模型v1.0.xlsx E:\加盟账单\2019账单\2019年07月\商品\账单\29137.xlsx</v>
      </c>
      <c r="D80" t="str">
        <f t="shared" ca="1" si="36"/>
        <v>E:\加盟账单\2019账单\2019年07月\商品\账单\29137.xlsx</v>
      </c>
      <c r="E80" t="s">
        <v>524</v>
      </c>
      <c r="F80" s="80" t="str">
        <f>VLOOKUP(A:A,邮箱!$A$4:$H$155,8,0)</f>
        <v xml:space="preserve">287626337@qq.com </v>
      </c>
      <c r="H80" t="b">
        <f>E80=F80</f>
        <v>1</v>
      </c>
    </row>
    <row r="81" spans="1:8" ht="15.75" thickTop="1" thickBot="1" x14ac:dyDescent="0.25">
      <c r="A81" s="45" t="s">
        <v>919</v>
      </c>
      <c r="B81" t="s">
        <v>526</v>
      </c>
      <c r="C81" t="str">
        <f t="shared" ca="1" si="35"/>
        <v>Copy E:\加盟账单\2019账单\2019年07月\商品\账单\模型v1.0.xlsx E:\加盟账单\2019账单\2019年07月\商品\账单\29138.xlsx</v>
      </c>
      <c r="D81" t="str">
        <f t="shared" ca="1" si="36"/>
        <v>E:\加盟账单\2019账单\2019年07月\商品\账单\29138.xlsx</v>
      </c>
      <c r="E81" t="s">
        <v>528</v>
      </c>
      <c r="F81" s="80" t="str">
        <f>VLOOKUP(A:A,邮箱!$A$4:$H$155,8,0)</f>
        <v xml:space="preserve">369576164@qq.com </v>
      </c>
      <c r="H81" t="b">
        <f t="shared" ref="H81" si="44">E81=F81</f>
        <v>1</v>
      </c>
    </row>
    <row r="82" spans="1:8" ht="15.75" thickTop="1" thickBot="1" x14ac:dyDescent="0.25">
      <c r="A82" s="45" t="s">
        <v>920</v>
      </c>
      <c r="B82" t="s">
        <v>530</v>
      </c>
      <c r="C82" t="str">
        <f t="shared" ca="1" si="35"/>
        <v>Copy E:\加盟账单\2019账单\2019年07月\商品\账单\模型v1.0.xlsx E:\加盟账单\2019账单\2019年07月\商品\账单\29139.xlsx</v>
      </c>
      <c r="D82" t="str">
        <f t="shared" ca="1" si="36"/>
        <v>E:\加盟账单\2019账单\2019年07月\商品\账单\29139.xlsx</v>
      </c>
      <c r="E82" t="s">
        <v>532</v>
      </c>
      <c r="F82" s="80" t="str">
        <f>VLOOKUP(A:A,邮箱!$A$4:$H$155,8,0)</f>
        <v xml:space="preserve">2876321553@qq.com </v>
      </c>
      <c r="H82" t="b">
        <f>E82=F82</f>
        <v>1</v>
      </c>
    </row>
    <row r="83" spans="1:8" ht="15.75" thickTop="1" thickBot="1" x14ac:dyDescent="0.25">
      <c r="A83" s="45" t="s">
        <v>921</v>
      </c>
      <c r="B83" t="s">
        <v>534</v>
      </c>
      <c r="C83" t="str">
        <f t="shared" ca="1" si="35"/>
        <v>Copy E:\加盟账单\2019账单\2019年07月\商品\账单\模型v1.0.xlsx E:\加盟账单\2019账单\2019年07月\商品\账单\29140.xlsx</v>
      </c>
      <c r="D83" t="str">
        <f t="shared" ca="1" si="36"/>
        <v>E:\加盟账单\2019账单\2019年07月\商品\账单\29140.xlsx</v>
      </c>
      <c r="E83" t="s">
        <v>536</v>
      </c>
      <c r="F83" s="80" t="str">
        <f>VLOOKUP(A:A,邮箱!$A$4:$H$155,8,0)</f>
        <v>1242557318@qq.com</v>
      </c>
      <c r="H83" t="b">
        <f t="shared" ref="H83" si="45">E83=F83</f>
        <v>1</v>
      </c>
    </row>
    <row r="84" spans="1:8" ht="15.75" thickTop="1" thickBot="1" x14ac:dyDescent="0.25">
      <c r="A84" s="45" t="s">
        <v>922</v>
      </c>
      <c r="B84" t="s">
        <v>543</v>
      </c>
      <c r="C84" t="str">
        <f t="shared" ca="1" si="35"/>
        <v>Copy E:\加盟账单\2019账单\2019年07月\商品\账单\模型v1.0.xlsx E:\加盟账单\2019账单\2019年07月\商品\账单\29145.xlsx</v>
      </c>
      <c r="D84" t="str">
        <f t="shared" ca="1" si="36"/>
        <v>E:\加盟账单\2019账单\2019年07月\商品\账单\29145.xlsx</v>
      </c>
      <c r="E84" t="s">
        <v>545</v>
      </c>
      <c r="F84" s="80" t="str">
        <f>VLOOKUP(A:A,邮箱!$A$4:$H$155,8,0)</f>
        <v>28036147@qq.com</v>
      </c>
      <c r="H84" t="b">
        <f>E84=F84</f>
        <v>1</v>
      </c>
    </row>
    <row r="85" spans="1:8" ht="15.75" thickTop="1" thickBot="1" x14ac:dyDescent="0.25">
      <c r="A85" s="45" t="s">
        <v>923</v>
      </c>
      <c r="B85" t="s">
        <v>546</v>
      </c>
      <c r="C85" t="str">
        <f t="shared" ca="1" si="35"/>
        <v>Copy E:\加盟账单\2019账单\2019年07月\商品\账单\模型v1.0.xlsx E:\加盟账单\2019账单\2019年07月\商品\账单\29146.xlsx</v>
      </c>
      <c r="D85" t="str">
        <f t="shared" ca="1" si="36"/>
        <v>E:\加盟账单\2019账单\2019年07月\商品\账单\29146.xlsx</v>
      </c>
      <c r="E85" t="s">
        <v>548</v>
      </c>
      <c r="F85" s="80" t="str">
        <f>VLOOKUP(A:A,邮箱!$A$4:$H$155,8,0)</f>
        <v>317750464@qq.com</v>
      </c>
      <c r="H85" t="b">
        <f t="shared" ref="H85" si="46">E85=F85</f>
        <v>1</v>
      </c>
    </row>
    <row r="86" spans="1:8" ht="15.75" thickTop="1" thickBot="1" x14ac:dyDescent="0.25">
      <c r="A86" s="45" t="s">
        <v>924</v>
      </c>
      <c r="B86" t="s">
        <v>549</v>
      </c>
      <c r="C86" t="str">
        <f t="shared" ca="1" si="35"/>
        <v>Copy E:\加盟账单\2019账单\2019年07月\商品\账单\模型v1.0.xlsx E:\加盟账单\2019账单\2019年07月\商品\账单\29147.xlsx</v>
      </c>
      <c r="D86" t="str">
        <f t="shared" ca="1" si="36"/>
        <v>E:\加盟账单\2019账单\2019年07月\商品\账单\29147.xlsx</v>
      </c>
      <c r="E86" t="s">
        <v>551</v>
      </c>
      <c r="F86" s="80" t="str">
        <f>VLOOKUP(A:A,邮箱!$A$4:$H$155,8,0)</f>
        <v>1209852075@qq.com</v>
      </c>
      <c r="H86" t="b">
        <f>E86=F86</f>
        <v>1</v>
      </c>
    </row>
    <row r="87" spans="1:8" ht="15.75" thickTop="1" thickBot="1" x14ac:dyDescent="0.25">
      <c r="A87" s="45" t="s">
        <v>925</v>
      </c>
      <c r="B87" t="s">
        <v>553</v>
      </c>
      <c r="C87" t="str">
        <f t="shared" ca="1" si="35"/>
        <v>Copy E:\加盟账单\2019账单\2019年07月\商品\账单\模型v1.0.xlsx E:\加盟账单\2019账单\2019年07月\商品\账单\29148.xlsx</v>
      </c>
      <c r="D87" t="str">
        <f t="shared" ca="1" si="36"/>
        <v>E:\加盟账单\2019账单\2019年07月\商品\账单\29148.xlsx</v>
      </c>
      <c r="E87" t="s">
        <v>555</v>
      </c>
      <c r="F87" s="80" t="str">
        <f>VLOOKUP(A:A,邮箱!$A$4:$H$155,8,0)</f>
        <v>50211562@qq.com</v>
      </c>
      <c r="H87" t="b">
        <f t="shared" ref="H87" si="47">E87=F87</f>
        <v>1</v>
      </c>
    </row>
    <row r="88" spans="1:8" ht="15.75" thickTop="1" thickBot="1" x14ac:dyDescent="0.25">
      <c r="A88" s="45" t="s">
        <v>926</v>
      </c>
      <c r="B88" t="s">
        <v>557</v>
      </c>
      <c r="C88" t="str">
        <f t="shared" ca="1" si="35"/>
        <v>Copy E:\加盟账单\2019账单\2019年07月\商品\账单\模型v1.0.xlsx E:\加盟账单\2019账单\2019年07月\商品\账单\29149.xlsx</v>
      </c>
      <c r="D88" t="str">
        <f t="shared" ca="1" si="36"/>
        <v>E:\加盟账单\2019账单\2019年07月\商品\账单\29149.xlsx</v>
      </c>
      <c r="E88" t="s">
        <v>559</v>
      </c>
      <c r="F88" s="80" t="str">
        <f>VLOOKUP(A:A,邮箱!$A$4:$H$155,8,0)</f>
        <v>870802495@qq.com</v>
      </c>
      <c r="H88" t="b">
        <f>E88=F88</f>
        <v>1</v>
      </c>
    </row>
    <row r="89" spans="1:8" ht="15.75" thickTop="1" thickBot="1" x14ac:dyDescent="0.25">
      <c r="A89" s="45" t="s">
        <v>927</v>
      </c>
      <c r="B89" t="s">
        <v>560</v>
      </c>
      <c r="C89" t="str">
        <f t="shared" ca="1" si="35"/>
        <v>Copy E:\加盟账单\2019账单\2019年07月\商品\账单\模型v1.0.xlsx E:\加盟账单\2019账单\2019年07月\商品\账单\29150.xlsx</v>
      </c>
      <c r="D89" t="str">
        <f t="shared" ca="1" si="36"/>
        <v>E:\加盟账单\2019账单\2019年07月\商品\账单\29150.xlsx</v>
      </c>
      <c r="E89" t="s">
        <v>562</v>
      </c>
      <c r="F89" s="80" t="str">
        <f>VLOOKUP(A:A,邮箱!$A$4:$H$155,8,0)</f>
        <v>1129442737@qq.com</v>
      </c>
      <c r="H89" t="b">
        <f t="shared" ref="H89" si="48">E89=F89</f>
        <v>1</v>
      </c>
    </row>
    <row r="90" spans="1:8" ht="15.75" thickTop="1" thickBot="1" x14ac:dyDescent="0.25">
      <c r="A90" s="45" t="s">
        <v>928</v>
      </c>
      <c r="B90" t="s">
        <v>563</v>
      </c>
      <c r="C90" t="str">
        <f t="shared" ca="1" si="35"/>
        <v>Copy E:\加盟账单\2019账单\2019年07月\商品\账单\模型v1.0.xlsx E:\加盟账单\2019账单\2019年07月\商品\账单\29151.xlsx</v>
      </c>
      <c r="D90" t="str">
        <f t="shared" ca="1" si="36"/>
        <v>E:\加盟账单\2019账单\2019年07月\商品\账单\29151.xlsx</v>
      </c>
      <c r="E90" t="s">
        <v>565</v>
      </c>
      <c r="F90" s="80" t="str">
        <f>VLOOKUP(A:A,邮箱!$A$4:$H$155,8,0)</f>
        <v>1065966469@qq.com</v>
      </c>
      <c r="H90" t="b">
        <f>E90=F90</f>
        <v>1</v>
      </c>
    </row>
    <row r="91" spans="1:8" ht="15.75" thickTop="1" thickBot="1" x14ac:dyDescent="0.25">
      <c r="A91" s="45" t="s">
        <v>929</v>
      </c>
      <c r="B91" t="s">
        <v>568</v>
      </c>
      <c r="C91" t="str">
        <f t="shared" ca="1" si="35"/>
        <v>Copy E:\加盟账单\2019账单\2019年07月\商品\账单\模型v1.0.xlsx E:\加盟账单\2019账单\2019年07月\商品\账单\29153.xlsx</v>
      </c>
      <c r="D91" t="str">
        <f t="shared" ca="1" si="36"/>
        <v>E:\加盟账单\2019账单\2019年07月\商品\账单\29153.xlsx</v>
      </c>
      <c r="E91" t="s">
        <v>569</v>
      </c>
      <c r="F91" s="80" t="str">
        <f>VLOOKUP(A:A,邮箱!$A$4:$H$155,8,0)</f>
        <v>1229797850@qq.com</v>
      </c>
      <c r="H91" t="b">
        <f t="shared" ref="H91" si="49">E91=F91</f>
        <v>1</v>
      </c>
    </row>
    <row r="92" spans="1:8" ht="15.75" thickTop="1" thickBot="1" x14ac:dyDescent="0.25">
      <c r="A92" s="45" t="s">
        <v>930</v>
      </c>
      <c r="B92" t="s">
        <v>574</v>
      </c>
      <c r="C92" t="str">
        <f t="shared" ca="1" si="35"/>
        <v>Copy E:\加盟账单\2019账单\2019年07月\商品\账单\模型v1.0.xlsx E:\加盟账单\2019账单\2019年07月\商品\账单\29155.xlsx</v>
      </c>
      <c r="D92" t="str">
        <f t="shared" ca="1" si="36"/>
        <v>E:\加盟账单\2019账单\2019年07月\商品\账单\29155.xlsx</v>
      </c>
      <c r="E92" t="s">
        <v>576</v>
      </c>
      <c r="F92" s="80" t="str">
        <f>VLOOKUP(A:A,邮箱!$A$4:$H$155,8,0)</f>
        <v>769983213@qq.com</v>
      </c>
      <c r="H92" t="b">
        <f>E92=F92</f>
        <v>1</v>
      </c>
    </row>
    <row r="93" spans="1:8" ht="15.75" thickTop="1" thickBot="1" x14ac:dyDescent="0.25">
      <c r="A93" s="45" t="s">
        <v>931</v>
      </c>
      <c r="B93" t="s">
        <v>577</v>
      </c>
      <c r="C93" t="str">
        <f t="shared" ca="1" si="35"/>
        <v>Copy E:\加盟账单\2019账单\2019年07月\商品\账单\模型v1.0.xlsx E:\加盟账单\2019账单\2019年07月\商品\账单\29156.xlsx</v>
      </c>
      <c r="D93" t="str">
        <f t="shared" ca="1" si="36"/>
        <v>E:\加盟账单\2019账单\2019年07月\商品\账单\29156.xlsx</v>
      </c>
      <c r="E93" t="s">
        <v>579</v>
      </c>
      <c r="F93" s="80" t="str">
        <f>VLOOKUP(A:A,邮箱!$A$4:$H$155,8,0)</f>
        <v>280016738@qq.com</v>
      </c>
      <c r="H93" t="b">
        <f t="shared" ref="H93" si="50">E93=F93</f>
        <v>1</v>
      </c>
    </row>
    <row r="94" spans="1:8" ht="15.75" thickTop="1" thickBot="1" x14ac:dyDescent="0.25">
      <c r="A94" s="45" t="s">
        <v>932</v>
      </c>
      <c r="B94" t="s">
        <v>580</v>
      </c>
      <c r="C94" t="str">
        <f t="shared" ca="1" si="35"/>
        <v>Copy E:\加盟账单\2019账单\2019年07月\商品\账单\模型v1.0.xlsx E:\加盟账单\2019账单\2019年07月\商品\账单\29157.xlsx</v>
      </c>
      <c r="D94" t="str">
        <f t="shared" ca="1" si="36"/>
        <v>E:\加盟账单\2019账单\2019年07月\商品\账单\29157.xlsx</v>
      </c>
      <c r="E94" t="s">
        <v>539</v>
      </c>
      <c r="F94" s="80" t="str">
        <f>VLOOKUP(A:A,邮箱!$A$4:$H$155,8,0)</f>
        <v>764595041@qq.com</v>
      </c>
      <c r="H94" t="b">
        <f>E94=F94</f>
        <v>1</v>
      </c>
    </row>
    <row r="95" spans="1:8" ht="15.75" thickTop="1" thickBot="1" x14ac:dyDescent="0.25">
      <c r="A95" s="45" t="s">
        <v>933</v>
      </c>
      <c r="B95" t="s">
        <v>583</v>
      </c>
      <c r="C95" t="str">
        <f t="shared" ca="1" si="35"/>
        <v>Copy E:\加盟账单\2019账单\2019年07月\商品\账单\模型v1.0.xlsx E:\加盟账单\2019账单\2019年07月\商品\账单\29159.xlsx</v>
      </c>
      <c r="D95" t="str">
        <f t="shared" ca="1" si="36"/>
        <v>E:\加盟账单\2019账单\2019年07月\商品\账单\29159.xlsx</v>
      </c>
      <c r="E95" t="s">
        <v>585</v>
      </c>
      <c r="F95" s="80" t="str">
        <f>VLOOKUP(A:A,邮箱!$A$4:$H$155,8,0)</f>
        <v>2298202998@qq.com</v>
      </c>
      <c r="H95" t="b">
        <f t="shared" ref="H95" si="51">E95=F95</f>
        <v>1</v>
      </c>
    </row>
    <row r="96" spans="1:8" ht="15.75" thickTop="1" thickBot="1" x14ac:dyDescent="0.25">
      <c r="A96" s="45" t="s">
        <v>934</v>
      </c>
      <c r="B96" t="s">
        <v>586</v>
      </c>
      <c r="C96" t="str">
        <f t="shared" ca="1" si="35"/>
        <v>Copy E:\加盟账单\2019账单\2019年07月\商品\账单\模型v1.0.xlsx E:\加盟账单\2019账单\2019年07月\商品\账单\29160.xlsx</v>
      </c>
      <c r="D96" t="str">
        <f t="shared" ca="1" si="36"/>
        <v>E:\加盟账单\2019账单\2019年07月\商品\账单\29160.xlsx</v>
      </c>
      <c r="E96" t="s">
        <v>588</v>
      </c>
      <c r="F96" s="80" t="str">
        <f>VLOOKUP(A:A,邮箱!$A$4:$H$155,8,0)</f>
        <v>903739321@qq.com</v>
      </c>
      <c r="H96" t="b">
        <f>E96=F96</f>
        <v>1</v>
      </c>
    </row>
    <row r="97" spans="1:8" ht="15.75" thickTop="1" thickBot="1" x14ac:dyDescent="0.25">
      <c r="A97" s="45" t="s">
        <v>935</v>
      </c>
      <c r="B97" t="s">
        <v>589</v>
      </c>
      <c r="C97" t="str">
        <f t="shared" ca="1" si="35"/>
        <v>Copy E:\加盟账单\2019账单\2019年07月\商品\账单\模型v1.0.xlsx E:\加盟账单\2019账单\2019年07月\商品\账单\29161.xlsx</v>
      </c>
      <c r="D97" t="str">
        <f t="shared" ca="1" si="36"/>
        <v>E:\加盟账单\2019账单\2019年07月\商品\账单\29161.xlsx</v>
      </c>
      <c r="E97" t="s">
        <v>590</v>
      </c>
      <c r="F97" s="80" t="str">
        <f>VLOOKUP(A:A,邮箱!$A$4:$H$155,8,0)</f>
        <v>xuanxuan20111216@163.com</v>
      </c>
      <c r="H97" t="b">
        <f t="shared" ref="H97" si="52">E97=F97</f>
        <v>1</v>
      </c>
    </row>
    <row r="98" spans="1:8" ht="15.75" thickTop="1" thickBot="1" x14ac:dyDescent="0.25">
      <c r="A98" s="45" t="s">
        <v>936</v>
      </c>
      <c r="B98" t="s">
        <v>591</v>
      </c>
      <c r="C98" t="str">
        <f t="shared" ref="C98:C129" ca="1" si="53">"Copy "&amp;$F$2&amp;"模型v1.0.xlsx "&amp;$F$2&amp;""&amp;A98&amp;".xlsx"</f>
        <v>Copy E:\加盟账单\2019账单\2019年07月\商品\账单\模型v1.0.xlsx E:\加盟账单\2019账单\2019年07月\商品\账单\29162.xlsx</v>
      </c>
      <c r="D98" t="str">
        <f t="shared" ref="D98:D129" ca="1" si="54">$F$2&amp;""&amp;A98&amp;".xlsx"</f>
        <v>E:\加盟账单\2019账单\2019年07月\商品\账单\29162.xlsx</v>
      </c>
      <c r="E98" t="s">
        <v>592</v>
      </c>
      <c r="F98" s="80" t="str">
        <f>VLOOKUP(A:A,邮箱!$A$4:$H$155,8,0)</f>
        <v>发英姐微信</v>
      </c>
      <c r="H98" t="b">
        <f>E98=F98</f>
        <v>1</v>
      </c>
    </row>
    <row r="99" spans="1:8" ht="15.75" thickTop="1" thickBot="1" x14ac:dyDescent="0.25">
      <c r="A99" s="45" t="s">
        <v>937</v>
      </c>
      <c r="B99" t="s">
        <v>594</v>
      </c>
      <c r="C99" t="str">
        <f t="shared" ca="1" si="53"/>
        <v>Copy E:\加盟账单\2019账单\2019年07月\商品\账单\模型v1.0.xlsx E:\加盟账单\2019账单\2019年07月\商品\账单\29164.xlsx</v>
      </c>
      <c r="D99" t="str">
        <f t="shared" ca="1" si="54"/>
        <v>E:\加盟账单\2019账单\2019年07月\商品\账单\29164.xlsx</v>
      </c>
      <c r="E99" t="s">
        <v>595</v>
      </c>
      <c r="F99" s="80" t="str">
        <f>VLOOKUP(A:A,邮箱!$A$4:$H$155,8,0)</f>
        <v>86474533@qq.com</v>
      </c>
      <c r="H99" t="b">
        <f t="shared" ref="H99" si="55">E99=F99</f>
        <v>1</v>
      </c>
    </row>
    <row r="100" spans="1:8" ht="15.75" thickTop="1" thickBot="1" x14ac:dyDescent="0.25">
      <c r="A100" s="45" t="s">
        <v>938</v>
      </c>
      <c r="B100" t="s">
        <v>596</v>
      </c>
      <c r="C100" t="str">
        <f t="shared" ca="1" si="53"/>
        <v>Copy E:\加盟账单\2019账单\2019年07月\商品\账单\模型v1.0.xlsx E:\加盟账单\2019账单\2019年07月\商品\账单\29165.xlsx</v>
      </c>
      <c r="D100" t="str">
        <f t="shared" ca="1" si="54"/>
        <v>E:\加盟账单\2019账单\2019年07月\商品\账单\29165.xlsx</v>
      </c>
      <c r="E100" t="s">
        <v>598</v>
      </c>
      <c r="F100" s="80" t="str">
        <f>VLOOKUP(A:A,邮箱!$A$4:$H$155,8,0)</f>
        <v>1287064373@qq.com</v>
      </c>
      <c r="H100" t="b">
        <f>E100=F100</f>
        <v>1</v>
      </c>
    </row>
    <row r="101" spans="1:8" ht="15.75" thickTop="1" thickBot="1" x14ac:dyDescent="0.25">
      <c r="A101" s="45" t="s">
        <v>939</v>
      </c>
      <c r="B101" t="s">
        <v>599</v>
      </c>
      <c r="C101" t="str">
        <f t="shared" ca="1" si="53"/>
        <v>Copy E:\加盟账单\2019账单\2019年07月\商品\账单\模型v1.0.xlsx E:\加盟账单\2019账单\2019年07月\商品\账单\29166.xlsx</v>
      </c>
      <c r="D101" t="str">
        <f t="shared" ca="1" si="54"/>
        <v>E:\加盟账单\2019账单\2019年07月\商品\账单\29166.xlsx</v>
      </c>
      <c r="E101" t="s">
        <v>600</v>
      </c>
      <c r="F101" s="80" t="str">
        <f>VLOOKUP(A:A,邮箱!$A$4:$H$155,8,0)</f>
        <v>530827867@qq.com</v>
      </c>
      <c r="H101" t="b">
        <f t="shared" ref="H101" si="56">E101=F101</f>
        <v>1</v>
      </c>
    </row>
    <row r="102" spans="1:8" ht="15.75" thickTop="1" thickBot="1" x14ac:dyDescent="0.25">
      <c r="A102" s="45" t="s">
        <v>940</v>
      </c>
      <c r="B102" t="s">
        <v>778</v>
      </c>
      <c r="C102" t="str">
        <f t="shared" ca="1" si="53"/>
        <v>Copy E:\加盟账单\2019账单\2019年07月\商品\账单\模型v1.0.xlsx E:\加盟账单\2019账单\2019年07月\商品\账单\29168.xlsx</v>
      </c>
      <c r="D102" t="str">
        <f t="shared" ca="1" si="54"/>
        <v>E:\加盟账单\2019账单\2019年07月\商品\账单\29168.xlsx</v>
      </c>
      <c r="E102" t="s">
        <v>601</v>
      </c>
      <c r="F102" s="80" t="str">
        <f>VLOOKUP(A:A,邮箱!$A$4:$H$155,8,0)</f>
        <v>1250715603@qq.com</v>
      </c>
      <c r="H102" t="b">
        <f>E102=F102</f>
        <v>1</v>
      </c>
    </row>
    <row r="103" spans="1:8" ht="15.75" thickTop="1" thickBot="1" x14ac:dyDescent="0.25">
      <c r="A103" s="45" t="s">
        <v>941</v>
      </c>
      <c r="B103" t="s">
        <v>779</v>
      </c>
      <c r="C103" t="str">
        <f t="shared" ca="1" si="53"/>
        <v>Copy E:\加盟账单\2019账单\2019年07月\商品\账单\模型v1.0.xlsx E:\加盟账单\2019账单\2019年07月\商品\账单\29062.xlsx</v>
      </c>
      <c r="D103" t="str">
        <f t="shared" ca="1" si="54"/>
        <v>E:\加盟账单\2019账单\2019年07月\商品\账单\29062.xlsx</v>
      </c>
      <c r="E103" t="s">
        <v>603</v>
      </c>
      <c r="F103" s="80" t="str">
        <f>VLOOKUP(A:A,邮箱!$A$4:$H$155,8,0)</f>
        <v>913135472@qq.com</v>
      </c>
      <c r="H103" t="b">
        <f t="shared" ref="H103" si="57">E103=F103</f>
        <v>1</v>
      </c>
    </row>
    <row r="104" spans="1:8" ht="15.75" thickTop="1" thickBot="1" x14ac:dyDescent="0.25">
      <c r="A104" s="45" t="s">
        <v>942</v>
      </c>
      <c r="B104" t="s">
        <v>780</v>
      </c>
      <c r="C104" t="str">
        <f t="shared" ca="1" si="53"/>
        <v>Copy E:\加盟账单\2019账单\2019年07月\商品\账单\模型v1.0.xlsx E:\加盟账单\2019账单\2019年07月\商品\账单\29064.xlsx</v>
      </c>
      <c r="D104" t="str">
        <f t="shared" ca="1" si="54"/>
        <v>E:\加盟账单\2019账单\2019年07月\商品\账单\29064.xlsx</v>
      </c>
      <c r="E104" t="s">
        <v>536</v>
      </c>
      <c r="F104" s="80" t="str">
        <f>VLOOKUP(A:A,邮箱!$A$4:$H$155,8,0)</f>
        <v>1242557318@qq.com</v>
      </c>
      <c r="H104" t="b">
        <f>E104=F104</f>
        <v>1</v>
      </c>
    </row>
    <row r="105" spans="1:8" ht="15.75" thickTop="1" thickBot="1" x14ac:dyDescent="0.25">
      <c r="A105" s="45" t="s">
        <v>943</v>
      </c>
      <c r="B105" t="s">
        <v>781</v>
      </c>
      <c r="C105" t="str">
        <f t="shared" ca="1" si="53"/>
        <v>Copy E:\加盟账单\2019账单\2019年07月\商品\账单\模型v1.0.xlsx E:\加盟账单\2019账单\2019年07月\商品\账单\29060.xlsx</v>
      </c>
      <c r="D105" t="str">
        <f t="shared" ca="1" si="54"/>
        <v>E:\加盟账单\2019账单\2019年07月\商品\账单\29060.xlsx</v>
      </c>
      <c r="E105" t="s">
        <v>605</v>
      </c>
      <c r="F105" s="80" t="str">
        <f>VLOOKUP(A:A,邮箱!$A$4:$H$155,8,0)</f>
        <v>747780921@qq.com</v>
      </c>
      <c r="H105" t="b">
        <f t="shared" ref="H105" si="58">E105=F105</f>
        <v>1</v>
      </c>
    </row>
    <row r="106" spans="1:8" ht="15.75" thickTop="1" thickBot="1" x14ac:dyDescent="0.25">
      <c r="A106" s="45" t="s">
        <v>945</v>
      </c>
      <c r="B106" t="s">
        <v>783</v>
      </c>
      <c r="C106" t="str">
        <f t="shared" ca="1" si="53"/>
        <v>Copy E:\加盟账单\2019账单\2019年07月\商品\账单\模型v1.0.xlsx E:\加盟账单\2019账单\2019年07月\商品\账单\29002.xlsx</v>
      </c>
      <c r="D106" t="str">
        <f t="shared" ca="1" si="54"/>
        <v>E:\加盟账单\2019账单\2019年07月\商品\账单\29002.xlsx</v>
      </c>
      <c r="E106" t="s">
        <v>608</v>
      </c>
      <c r="F106" s="80" t="str">
        <f>VLOOKUP(A:A,邮箱!$A$4:$H$155,8,0)</f>
        <v>451652305@qq.com</v>
      </c>
      <c r="H106" t="b">
        <f>E106=F106</f>
        <v>1</v>
      </c>
    </row>
    <row r="107" spans="1:8" ht="15.75" thickTop="1" thickBot="1" x14ac:dyDescent="0.25">
      <c r="A107" s="45" t="s">
        <v>946</v>
      </c>
      <c r="B107" t="s">
        <v>609</v>
      </c>
      <c r="C107" t="str">
        <f t="shared" ca="1" si="53"/>
        <v>Copy E:\加盟账单\2019账单\2019年07月\商品\账单\模型v1.0.xlsx E:\加盟账单\2019账单\2019年07月\商品\账单\29174.xlsx</v>
      </c>
      <c r="D107" t="str">
        <f t="shared" ca="1" si="54"/>
        <v>E:\加盟账单\2019账单\2019年07月\商品\账单\29174.xlsx</v>
      </c>
      <c r="E107" t="s">
        <v>610</v>
      </c>
      <c r="F107" s="80" t="str">
        <f>VLOOKUP(A:A,邮箱!$A$4:$H$155,8,0)</f>
        <v>uspaiglasses@126.com</v>
      </c>
      <c r="H107" t="b">
        <f t="shared" ref="H107" si="59">E107=F107</f>
        <v>1</v>
      </c>
    </row>
    <row r="108" spans="1:8" ht="15.75" thickTop="1" thickBot="1" x14ac:dyDescent="0.25">
      <c r="A108" s="45" t="s">
        <v>947</v>
      </c>
      <c r="B108" t="s">
        <v>784</v>
      </c>
      <c r="C108" t="str">
        <f t="shared" ca="1" si="53"/>
        <v>Copy E:\加盟账单\2019账单\2019年07月\商品\账单\模型v1.0.xlsx E:\加盟账单\2019账单\2019年07月\商品\账单\29003.xlsx</v>
      </c>
      <c r="D108" t="str">
        <f t="shared" ca="1" si="54"/>
        <v>E:\加盟账单\2019账单\2019年07月\商品\账单\29003.xlsx</v>
      </c>
      <c r="E108" t="s">
        <v>612</v>
      </c>
      <c r="F108" s="80" t="str">
        <f>VLOOKUP(A:A,邮箱!$A$4:$H$155,8,0)</f>
        <v>262982996@qq.com</v>
      </c>
      <c r="H108" t="b">
        <f>E108=F108</f>
        <v>1</v>
      </c>
    </row>
    <row r="109" spans="1:8" ht="15.75" thickTop="1" thickBot="1" x14ac:dyDescent="0.25">
      <c r="A109" s="45" t="s">
        <v>948</v>
      </c>
      <c r="B109" t="s">
        <v>613</v>
      </c>
      <c r="C109" t="str">
        <f t="shared" ca="1" si="53"/>
        <v>Copy E:\加盟账单\2019账单\2019年07月\商品\账单\模型v1.0.xlsx E:\加盟账单\2019账单\2019年07月\商品\账单\29176.xlsx</v>
      </c>
      <c r="D109" t="str">
        <f t="shared" ca="1" si="54"/>
        <v>E:\加盟账单\2019账单\2019年07月\商品\账单\29176.xlsx</v>
      </c>
      <c r="E109" t="s">
        <v>555</v>
      </c>
      <c r="F109" s="80" t="str">
        <f>VLOOKUP(A:A,邮箱!$A$4:$H$155,8,0)</f>
        <v>50211562@qq.com</v>
      </c>
      <c r="H109" t="b">
        <f t="shared" ref="H109" si="60">E109=F109</f>
        <v>1</v>
      </c>
    </row>
    <row r="110" spans="1:8" ht="15.75" thickTop="1" thickBot="1" x14ac:dyDescent="0.25">
      <c r="A110" s="45" t="s">
        <v>949</v>
      </c>
      <c r="B110" t="s">
        <v>785</v>
      </c>
      <c r="C110" t="str">
        <f t="shared" ca="1" si="53"/>
        <v>Copy E:\加盟账单\2019账单\2019年07月\商品\账单\模型v1.0.xlsx E:\加盟账单\2019账单\2019年07月\商品\账单\29177.xlsx</v>
      </c>
      <c r="D110" t="str">
        <f t="shared" ca="1" si="54"/>
        <v>E:\加盟账单\2019账单\2019年07月\商品\账单\29177.xlsx</v>
      </c>
      <c r="E110" t="s">
        <v>615</v>
      </c>
      <c r="F110" s="80" t="str">
        <f>VLOOKUP(A:A,邮箱!$A$4:$H$155,8,0)</f>
        <v>1059135366@qq.com</v>
      </c>
      <c r="H110" t="b">
        <f>E110=F110</f>
        <v>1</v>
      </c>
    </row>
    <row r="111" spans="1:8" ht="15.75" thickTop="1" thickBot="1" x14ac:dyDescent="0.25">
      <c r="A111" s="45" t="s">
        <v>950</v>
      </c>
      <c r="B111" t="s">
        <v>616</v>
      </c>
      <c r="C111" t="str">
        <f t="shared" ca="1" si="53"/>
        <v>Copy E:\加盟账单\2019账单\2019年07月\商品\账单\模型v1.0.xlsx E:\加盟账单\2019账单\2019年07月\商品\账单\29178.xlsx</v>
      </c>
      <c r="D111" t="str">
        <f t="shared" ca="1" si="54"/>
        <v>E:\加盟账单\2019账单\2019年07月\商品\账单\29178.xlsx</v>
      </c>
      <c r="E111" t="s">
        <v>618</v>
      </c>
      <c r="F111" s="80" t="str">
        <f>VLOOKUP(A:A,邮箱!$A$4:$H$155,8,0)</f>
        <v>295586808@qq.com</v>
      </c>
      <c r="H111" t="b">
        <f t="shared" ref="H111" si="61">E111=F111</f>
        <v>1</v>
      </c>
    </row>
    <row r="112" spans="1:8" ht="15.75" thickTop="1" thickBot="1" x14ac:dyDescent="0.25">
      <c r="A112" s="45" t="s">
        <v>951</v>
      </c>
      <c r="B112" t="s">
        <v>619</v>
      </c>
      <c r="C112" t="str">
        <f t="shared" ca="1" si="53"/>
        <v>Copy E:\加盟账单\2019账单\2019年07月\商品\账单\模型v1.0.xlsx E:\加盟账单\2019账单\2019年07月\商品\账单\29179.xlsx</v>
      </c>
      <c r="D112" t="str">
        <f t="shared" ca="1" si="54"/>
        <v>E:\加盟账单\2019账单\2019年07月\商品\账单\29179.xlsx</v>
      </c>
      <c r="E112" t="s">
        <v>620</v>
      </c>
      <c r="F112" s="80" t="str">
        <f>VLOOKUP(A:A,邮箱!$A$4:$H$155,8,0)</f>
        <v>2985457255@qq.com</v>
      </c>
      <c r="H112" t="b">
        <f>E112=F112</f>
        <v>1</v>
      </c>
    </row>
    <row r="113" spans="1:8" ht="15.75" thickTop="1" thickBot="1" x14ac:dyDescent="0.25">
      <c r="A113" s="45" t="s">
        <v>952</v>
      </c>
      <c r="B113" t="s">
        <v>621</v>
      </c>
      <c r="C113" t="str">
        <f t="shared" ca="1" si="53"/>
        <v>Copy E:\加盟账单\2019账单\2019年07月\商品\账单\模型v1.0.xlsx E:\加盟账单\2019账单\2019年07月\商品\账单\29180.xlsx</v>
      </c>
      <c r="D113" t="str">
        <f t="shared" ca="1" si="54"/>
        <v>E:\加盟账单\2019账单\2019年07月\商品\账单\29180.xlsx</v>
      </c>
      <c r="E113" t="s">
        <v>622</v>
      </c>
      <c r="F113" s="80" t="str">
        <f>VLOOKUP(A:A,邮箱!$A$4:$H$155,8,0)</f>
        <v>370654859@qq.com</v>
      </c>
      <c r="H113" t="b">
        <f t="shared" ref="H113" si="62">E113=F113</f>
        <v>1</v>
      </c>
    </row>
    <row r="114" spans="1:8" ht="15.75" thickTop="1" thickBot="1" x14ac:dyDescent="0.25">
      <c r="A114" s="45" t="s">
        <v>953</v>
      </c>
      <c r="B114" t="s">
        <v>623</v>
      </c>
      <c r="C114" t="str">
        <f t="shared" ca="1" si="53"/>
        <v>Copy E:\加盟账单\2019账单\2019年07月\商品\账单\模型v1.0.xlsx E:\加盟账单\2019账单\2019年07月\商品\账单\29181.xlsx</v>
      </c>
      <c r="D114" t="str">
        <f t="shared" ca="1" si="54"/>
        <v>E:\加盟账单\2019账单\2019年07月\商品\账单\29181.xlsx</v>
      </c>
      <c r="E114" t="s">
        <v>625</v>
      </c>
      <c r="F114" s="80" t="str">
        <f>VLOOKUP(A:A,邮箱!$A$4:$H$155,8,0)</f>
        <v>2923438191@qq.com</v>
      </c>
      <c r="H114" t="b">
        <f>E114=F114</f>
        <v>1</v>
      </c>
    </row>
    <row r="115" spans="1:8" ht="15.75" thickTop="1" thickBot="1" x14ac:dyDescent="0.25">
      <c r="A115" s="45" t="s">
        <v>954</v>
      </c>
      <c r="B115" t="s">
        <v>626</v>
      </c>
      <c r="C115" t="str">
        <f t="shared" ca="1" si="53"/>
        <v>Copy E:\加盟账单\2019账单\2019年07月\商品\账单\模型v1.0.xlsx E:\加盟账单\2019账单\2019年07月\商品\账单\29182.xlsx</v>
      </c>
      <c r="D115" t="str">
        <f t="shared" ca="1" si="54"/>
        <v>E:\加盟账单\2019账单\2019年07月\商品\账单\29182.xlsx</v>
      </c>
      <c r="E115" t="s">
        <v>200</v>
      </c>
      <c r="F115" s="80" t="str">
        <f>VLOOKUP(A:A,邮箱!$A$4:$H$155,8,0)</f>
        <v>1534269116@qq.com</v>
      </c>
      <c r="H115" t="b">
        <f t="shared" ref="H115" si="63">E115=F115</f>
        <v>1</v>
      </c>
    </row>
    <row r="116" spans="1:8" ht="15.75" thickTop="1" thickBot="1" x14ac:dyDescent="0.25">
      <c r="A116" s="45" t="s">
        <v>955</v>
      </c>
      <c r="B116" t="s">
        <v>627</v>
      </c>
      <c r="C116" t="str">
        <f t="shared" ca="1" si="53"/>
        <v>Copy E:\加盟账单\2019账单\2019年07月\商品\账单\模型v1.0.xlsx E:\加盟账单\2019账单\2019年07月\商品\账单\29183.xlsx</v>
      </c>
      <c r="D116" t="str">
        <f t="shared" ca="1" si="54"/>
        <v>E:\加盟账单\2019账单\2019年07月\商品\账单\29183.xlsx</v>
      </c>
      <c r="E116" t="s">
        <v>771</v>
      </c>
      <c r="F116" s="80" t="str">
        <f>VLOOKUP(A:A,邮箱!$A$4:$H$155,8,0)</f>
        <v>fnyaoli@126.com</v>
      </c>
      <c r="H116" t="b">
        <f>E116=F116</f>
        <v>1</v>
      </c>
    </row>
    <row r="117" spans="1:8" ht="15.75" thickTop="1" thickBot="1" x14ac:dyDescent="0.25">
      <c r="A117" s="45" t="s">
        <v>956</v>
      </c>
      <c r="B117" t="s">
        <v>629</v>
      </c>
      <c r="C117" t="str">
        <f t="shared" ca="1" si="53"/>
        <v>Copy E:\加盟账单\2019账单\2019年07月\商品\账单\模型v1.0.xlsx E:\加盟账单\2019账单\2019年07月\商品\账单\29184.xlsx</v>
      </c>
      <c r="D117" t="str">
        <f t="shared" ca="1" si="54"/>
        <v>E:\加盟账单\2019账单\2019年07月\商品\账单\29184.xlsx</v>
      </c>
      <c r="E117" t="s">
        <v>632</v>
      </c>
      <c r="F117" s="80" t="str">
        <f>VLOOKUP(A:A,邮箱!$A$4:$H$155,8,0)</f>
        <v>597556550@qq.com</v>
      </c>
      <c r="H117" t="b">
        <f t="shared" ref="H117" si="64">E117=F117</f>
        <v>1</v>
      </c>
    </row>
    <row r="118" spans="1:8" ht="15.75" thickTop="1" thickBot="1" x14ac:dyDescent="0.25">
      <c r="A118" s="45" t="s">
        <v>957</v>
      </c>
      <c r="B118" t="s">
        <v>633</v>
      </c>
      <c r="C118" t="str">
        <f t="shared" ca="1" si="53"/>
        <v>Copy E:\加盟账单\2019账单\2019年07月\商品\账单\模型v1.0.xlsx E:\加盟账单\2019账单\2019年07月\商品\账单\29185.xlsx</v>
      </c>
      <c r="D118" t="str">
        <f t="shared" ca="1" si="54"/>
        <v>E:\加盟账单\2019账单\2019年07月\商品\账单\29185.xlsx</v>
      </c>
      <c r="E118" t="s">
        <v>636</v>
      </c>
      <c r="F118" s="80" t="str">
        <f>VLOOKUP(A:A,邮箱!$A$4:$H$155,8,0)</f>
        <v>409260385@qq.com</v>
      </c>
      <c r="H118" t="b">
        <f>E118=F118</f>
        <v>1</v>
      </c>
    </row>
    <row r="119" spans="1:8" ht="15.75" thickTop="1" thickBot="1" x14ac:dyDescent="0.25">
      <c r="A119" s="45" t="s">
        <v>958</v>
      </c>
      <c r="B119" t="s">
        <v>637</v>
      </c>
      <c r="C119" t="str">
        <f t="shared" ca="1" si="53"/>
        <v>Copy E:\加盟账单\2019账单\2019年07月\商品\账单\模型v1.0.xlsx E:\加盟账单\2019账单\2019年07月\商品\账单\29186.xlsx</v>
      </c>
      <c r="D119" t="str">
        <f t="shared" ca="1" si="54"/>
        <v>E:\加盟账单\2019账单\2019年07月\商品\账单\29186.xlsx</v>
      </c>
      <c r="E119" t="s">
        <v>639</v>
      </c>
      <c r="F119" s="80" t="str">
        <f>VLOOKUP(A:A,邮箱!$A$4:$H$155,8,0)</f>
        <v>834880329@qq.com</v>
      </c>
      <c r="H119" t="b">
        <f t="shared" ref="H119" si="65">E119=F119</f>
        <v>1</v>
      </c>
    </row>
    <row r="120" spans="1:8" ht="15.75" thickTop="1" thickBot="1" x14ac:dyDescent="0.25">
      <c r="A120" s="45" t="s">
        <v>959</v>
      </c>
      <c r="B120" t="s">
        <v>640</v>
      </c>
      <c r="C120" t="str">
        <f t="shared" ca="1" si="53"/>
        <v>Copy E:\加盟账单\2019账单\2019年07月\商品\账单\模型v1.0.xlsx E:\加盟账单\2019账单\2019年07月\商品\账单\29187.xlsx</v>
      </c>
      <c r="D120" t="str">
        <f t="shared" ca="1" si="54"/>
        <v>E:\加盟账单\2019账单\2019年07月\商品\账单\29187.xlsx</v>
      </c>
      <c r="E120" t="s">
        <v>389</v>
      </c>
      <c r="F120" s="80" t="str">
        <f>VLOOKUP(A:A,邮箱!$A$4:$H$155,8,0)</f>
        <v>1009271267@qq.com</v>
      </c>
      <c r="H120" t="b">
        <f>E120=F120</f>
        <v>1</v>
      </c>
    </row>
    <row r="121" spans="1:8" ht="15.75" thickTop="1" thickBot="1" x14ac:dyDescent="0.25">
      <c r="A121" s="45" t="s">
        <v>960</v>
      </c>
      <c r="B121" t="s">
        <v>641</v>
      </c>
      <c r="C121" t="str">
        <f t="shared" ca="1" si="53"/>
        <v>Copy E:\加盟账单\2019账单\2019年07月\商品\账单\模型v1.0.xlsx E:\加盟账单\2019账单\2019年07月\商品\账单\29188.xlsx</v>
      </c>
      <c r="D121" t="str">
        <f t="shared" ca="1" si="54"/>
        <v>E:\加盟账单\2019账单\2019年07月\商品\账单\29188.xlsx</v>
      </c>
      <c r="E121" t="s">
        <v>642</v>
      </c>
      <c r="F121" s="80" t="str">
        <f>VLOOKUP(A:A,邮箱!$A$4:$H$155,8,0)</f>
        <v>254368731@qq.com</v>
      </c>
      <c r="H121" t="b">
        <f t="shared" ref="H121" si="66">E121=F121</f>
        <v>1</v>
      </c>
    </row>
    <row r="122" spans="1:8" ht="15.75" thickTop="1" thickBot="1" x14ac:dyDescent="0.25">
      <c r="A122" s="45" t="s">
        <v>961</v>
      </c>
      <c r="B122" t="s">
        <v>643</v>
      </c>
      <c r="C122" t="str">
        <f t="shared" ca="1" si="53"/>
        <v>Copy E:\加盟账单\2019账单\2019年07月\商品\账单\模型v1.0.xlsx E:\加盟账单\2019账单\2019年07月\商品\账单\29189.xlsx</v>
      </c>
      <c r="D122" t="str">
        <f t="shared" ca="1" si="54"/>
        <v>E:\加盟账单\2019账单\2019年07月\商品\账单\29189.xlsx</v>
      </c>
      <c r="E122" t="s">
        <v>645</v>
      </c>
      <c r="F122" s="80" t="str">
        <f>VLOOKUP(A:A,邮箱!$A$4:$H$155,8,0)</f>
        <v>lijiafei1022@126.com</v>
      </c>
      <c r="H122" t="b">
        <f>E122=F122</f>
        <v>1</v>
      </c>
    </row>
    <row r="123" spans="1:8" ht="15.75" thickTop="1" thickBot="1" x14ac:dyDescent="0.25">
      <c r="A123" s="45" t="s">
        <v>962</v>
      </c>
      <c r="B123" t="s">
        <v>790</v>
      </c>
      <c r="C123" t="str">
        <f t="shared" ca="1" si="53"/>
        <v>Copy E:\加盟账单\2019账单\2019年07月\商品\账单\模型v1.0.xlsx E:\加盟账单\2019账单\2019年07月\商品\账单\29190.xlsx</v>
      </c>
      <c r="D123" t="str">
        <f t="shared" ca="1" si="54"/>
        <v>E:\加盟账单\2019账单\2019年07月\商品\账单\29190.xlsx</v>
      </c>
      <c r="E123" t="s">
        <v>648</v>
      </c>
      <c r="F123" s="80" t="str">
        <f>VLOOKUP(A:A,邮箱!$A$4:$H$155,8,0)</f>
        <v>1142179627@qq.com</v>
      </c>
      <c r="H123" t="b">
        <f t="shared" ref="H123" si="67">E123=F123</f>
        <v>1</v>
      </c>
    </row>
    <row r="124" spans="1:8" ht="15.75" thickTop="1" thickBot="1" x14ac:dyDescent="0.25">
      <c r="A124" s="45" t="s">
        <v>963</v>
      </c>
      <c r="B124" t="s">
        <v>649</v>
      </c>
      <c r="C124" t="str">
        <f t="shared" ca="1" si="53"/>
        <v>Copy E:\加盟账单\2019账单\2019年07月\商品\账单\模型v1.0.xlsx E:\加盟账单\2019账单\2019年07月\商品\账单\29191.xlsx</v>
      </c>
      <c r="D124" t="str">
        <f t="shared" ca="1" si="54"/>
        <v>E:\加盟账单\2019账单\2019年07月\商品\账单\29191.xlsx</v>
      </c>
      <c r="E124" t="s">
        <v>510</v>
      </c>
      <c r="F124" s="80" t="str">
        <f>VLOOKUP(A:A,邮箱!$A$4:$H$155,8,0)</f>
        <v xml:space="preserve">361321658@qq.com </v>
      </c>
      <c r="H124" t="b">
        <f>E124=F124</f>
        <v>1</v>
      </c>
    </row>
    <row r="125" spans="1:8" ht="15.75" thickTop="1" thickBot="1" x14ac:dyDescent="0.25">
      <c r="A125" s="45" t="s">
        <v>964</v>
      </c>
      <c r="B125" t="s">
        <v>650</v>
      </c>
      <c r="C125" t="str">
        <f t="shared" ca="1" si="53"/>
        <v>Copy E:\加盟账单\2019账单\2019年07月\商品\账单\模型v1.0.xlsx E:\加盟账单\2019账单\2019年07月\商品\账单\29192.xlsx</v>
      </c>
      <c r="D125" t="str">
        <f t="shared" ca="1" si="54"/>
        <v>E:\加盟账单\2019账单\2019年07月\商品\账单\29192.xlsx</v>
      </c>
      <c r="E125" t="s">
        <v>200</v>
      </c>
      <c r="F125" s="80" t="str">
        <f>VLOOKUP(A:A,邮箱!$A$4:$H$155,8,0)</f>
        <v>1534269116@qq.com</v>
      </c>
      <c r="H125" t="b">
        <f t="shared" ref="H125:H128" si="68">E125=F125</f>
        <v>1</v>
      </c>
    </row>
    <row r="126" spans="1:8" ht="15.75" thickTop="1" thickBot="1" x14ac:dyDescent="0.25">
      <c r="A126" s="45" t="s">
        <v>981</v>
      </c>
      <c r="B126" t="s">
        <v>652</v>
      </c>
      <c r="C126" t="str">
        <f t="shared" ca="1" si="53"/>
        <v>Copy E:\加盟账单\2019账单\2019年07月\商品\账单\模型v1.0.xlsx E:\加盟账单\2019账单\2019年07月\商品\账单\29216.xlsx</v>
      </c>
      <c r="D126" t="str">
        <f t="shared" ca="1" si="54"/>
        <v>E:\加盟账单\2019账单\2019年07月\商品\账单\29216.xlsx</v>
      </c>
      <c r="E126" t="s">
        <v>517</v>
      </c>
      <c r="F126" s="80" t="str">
        <f>VLOOKUP(A:A,邮箱!$A$4:$H$155,8,0)</f>
        <v>1965672295@qq.com</v>
      </c>
      <c r="H126" t="b">
        <f t="shared" si="68"/>
        <v>1</v>
      </c>
    </row>
    <row r="127" spans="1:8" ht="15.75" thickTop="1" thickBot="1" x14ac:dyDescent="0.25">
      <c r="A127" s="45" t="s">
        <v>966</v>
      </c>
      <c r="B127" t="s">
        <v>654</v>
      </c>
      <c r="C127" t="str">
        <f t="shared" ca="1" si="53"/>
        <v>Copy E:\加盟账单\2019账单\2019年07月\商品\账单\模型v1.0.xlsx E:\加盟账单\2019账单\2019年07月\商品\账单\29194.xlsx</v>
      </c>
      <c r="D127" t="str">
        <f t="shared" ca="1" si="54"/>
        <v>E:\加盟账单\2019账单\2019年07月\商品\账单\29194.xlsx</v>
      </c>
      <c r="E127" t="s">
        <v>367</v>
      </c>
      <c r="F127" s="80" t="str">
        <f>VLOOKUP(A:A,邮箱!$A$4:$H$155,8,0)</f>
        <v>944121463@qq.com</v>
      </c>
      <c r="H127" t="b">
        <f t="shared" si="68"/>
        <v>1</v>
      </c>
    </row>
    <row r="128" spans="1:8" ht="15.75" thickTop="1" thickBot="1" x14ac:dyDescent="0.25">
      <c r="A128" s="45" t="s">
        <v>965</v>
      </c>
      <c r="B128" t="s">
        <v>791</v>
      </c>
      <c r="C128" t="str">
        <f t="shared" ca="1" si="53"/>
        <v>Copy E:\加盟账单\2019账单\2019年07月\商品\账单\模型v1.0.xlsx E:\加盟账单\2019账单\2019年07月\商品\账单\29193.xlsx</v>
      </c>
      <c r="D128" t="str">
        <f t="shared" ca="1" si="54"/>
        <v>E:\加盟账单\2019账单\2019年07月\商品\账单\29193.xlsx</v>
      </c>
      <c r="E128" t="s">
        <v>651</v>
      </c>
      <c r="F128" s="80" t="str">
        <f>VLOOKUP(A:A,邮箱!$A$4:$H$155,8,0)</f>
        <v>370094791@qq.com</v>
      </c>
      <c r="H128" t="b">
        <f t="shared" si="68"/>
        <v>1</v>
      </c>
    </row>
    <row r="129" spans="1:8" ht="15.75" thickTop="1" thickBot="1" x14ac:dyDescent="0.25">
      <c r="A129" s="45" t="s">
        <v>967</v>
      </c>
      <c r="B129" t="s">
        <v>792</v>
      </c>
      <c r="C129" t="str">
        <f t="shared" ca="1" si="53"/>
        <v>Copy E:\加盟账单\2019账单\2019年07月\商品\账单\模型v1.0.xlsx E:\加盟账单\2019账单\2019年07月\商品\账单\29195.xlsx</v>
      </c>
      <c r="D129" t="str">
        <f t="shared" ca="1" si="54"/>
        <v>E:\加盟账单\2019账单\2019年07月\商品\账单\29195.xlsx</v>
      </c>
      <c r="E129" t="s">
        <v>656</v>
      </c>
      <c r="F129" s="80" t="str">
        <f>VLOOKUP(A:A,邮箱!$A$4:$H$155,8,0)</f>
        <v>1248108496@qq.com</v>
      </c>
      <c r="H129" t="b">
        <f t="shared" ref="H129" si="69">E129=F129</f>
        <v>1</v>
      </c>
    </row>
    <row r="130" spans="1:8" ht="15.75" thickTop="1" thickBot="1" x14ac:dyDescent="0.25">
      <c r="A130" s="45" t="s">
        <v>968</v>
      </c>
      <c r="B130" t="s">
        <v>660</v>
      </c>
      <c r="C130" t="str">
        <f t="shared" ref="C130:C160" ca="1" si="70">"Copy "&amp;$F$2&amp;"模型v1.0.xlsx "&amp;$F$2&amp;""&amp;A130&amp;".xlsx"</f>
        <v>Copy E:\加盟账单\2019账单\2019年07月\商品\账单\模型v1.0.xlsx E:\加盟账单\2019账单\2019年07月\商品\账单\29196.xlsx</v>
      </c>
      <c r="D130" t="str">
        <f t="shared" ref="D130:D160" ca="1" si="71">$F$2&amp;""&amp;A130&amp;".xlsx"</f>
        <v>E:\加盟账单\2019账单\2019年07月\商品\账单\29196.xlsx</v>
      </c>
      <c r="E130" t="s">
        <v>662</v>
      </c>
      <c r="F130" s="80" t="str">
        <f>VLOOKUP(A:A,邮箱!$A$4:$H$155,8,0)</f>
        <v>174420451@qq.com</v>
      </c>
      <c r="H130" t="b">
        <f>E130=F130</f>
        <v>1</v>
      </c>
    </row>
    <row r="131" spans="1:8" ht="15.75" thickTop="1" thickBot="1" x14ac:dyDescent="0.25">
      <c r="A131" s="45" t="s">
        <v>969</v>
      </c>
      <c r="B131" t="s">
        <v>657</v>
      </c>
      <c r="C131" t="str">
        <f t="shared" ca="1" si="70"/>
        <v>Copy E:\加盟账单\2019账单\2019年07月\商品\账单\模型v1.0.xlsx E:\加盟账单\2019账单\2019年07月\商品\账单\29197.xlsx</v>
      </c>
      <c r="D131" t="str">
        <f t="shared" ca="1" si="71"/>
        <v>E:\加盟账单\2019账单\2019年07月\商品\账单\29197.xlsx</v>
      </c>
      <c r="E131" t="s">
        <v>659</v>
      </c>
      <c r="F131" s="80" t="str">
        <f>VLOOKUP(A:A,邮箱!$A$4:$H$155,8,0)</f>
        <v>369436447@qq.com</v>
      </c>
      <c r="H131" t="b">
        <f t="shared" ref="H131:H138" si="72">E131=F131</f>
        <v>1</v>
      </c>
    </row>
    <row r="132" spans="1:8" ht="15.75" thickTop="1" thickBot="1" x14ac:dyDescent="0.25">
      <c r="A132" s="45" t="s">
        <v>970</v>
      </c>
      <c r="B132" t="s">
        <v>663</v>
      </c>
      <c r="C132" t="str">
        <f t="shared" ca="1" si="70"/>
        <v>Copy E:\加盟账单\2019账单\2019年07月\商品\账单\模型v1.0.xlsx E:\加盟账单\2019账单\2019年07月\商品\账单\29198.xlsx</v>
      </c>
      <c r="D132" t="str">
        <f t="shared" ca="1" si="71"/>
        <v>E:\加盟账单\2019账单\2019年07月\商品\账单\29198.xlsx</v>
      </c>
      <c r="E132" t="s">
        <v>1037</v>
      </c>
      <c r="F132" s="80" t="str">
        <f>VLOOKUP(A:A,邮箱!$A$4:$H$155,8,0)</f>
        <v>763104884@qq.com'</v>
      </c>
      <c r="H132" t="b">
        <f t="shared" si="72"/>
        <v>0</v>
      </c>
    </row>
    <row r="133" spans="1:8" ht="15.75" thickTop="1" thickBot="1" x14ac:dyDescent="0.25">
      <c r="A133" s="45" t="s">
        <v>971</v>
      </c>
      <c r="B133" t="s">
        <v>1027</v>
      </c>
      <c r="C133" t="str">
        <f t="shared" ca="1" si="70"/>
        <v>Copy E:\加盟账单\2019账单\2019年07月\商品\账单\模型v1.0.xlsx E:\加盟账单\2019账单\2019年07月\商品\账单\29199.xlsx</v>
      </c>
      <c r="D133" t="str">
        <f t="shared" ca="1" si="71"/>
        <v>E:\加盟账单\2019账单\2019年07月\商品\账单\29199.xlsx</v>
      </c>
      <c r="E133" t="s">
        <v>763</v>
      </c>
      <c r="F133" s="80" t="str">
        <f>VLOOKUP(A:A,邮箱!$A$4:$H$155,8,0)</f>
        <v>3269193779@qq.com</v>
      </c>
      <c r="H133" t="b">
        <f t="shared" si="72"/>
        <v>1</v>
      </c>
    </row>
    <row r="134" spans="1:8" ht="15.75" thickTop="1" thickBot="1" x14ac:dyDescent="0.25">
      <c r="A134" s="45" t="s">
        <v>972</v>
      </c>
      <c r="B134" t="s">
        <v>1028</v>
      </c>
      <c r="C134" t="str">
        <f t="shared" ca="1" si="70"/>
        <v>Copy E:\加盟账单\2019账单\2019年07月\商品\账单\模型v1.0.xlsx E:\加盟账单\2019账单\2019年07月\商品\账单\29200.xlsx</v>
      </c>
      <c r="D134" t="str">
        <f t="shared" ca="1" si="71"/>
        <v>E:\加盟账单\2019账单\2019年07月\商品\账单\29200.xlsx</v>
      </c>
      <c r="E134" t="s">
        <v>539</v>
      </c>
      <c r="F134" s="80" t="str">
        <f>VLOOKUP(A:A,邮箱!$A$4:$H$155,8,0)</f>
        <v>764595041@qq.com</v>
      </c>
      <c r="H134" t="b">
        <f t="shared" si="72"/>
        <v>1</v>
      </c>
    </row>
    <row r="135" spans="1:8" ht="15.75" thickTop="1" thickBot="1" x14ac:dyDescent="0.25">
      <c r="A135" s="45" t="s">
        <v>973</v>
      </c>
      <c r="B135" t="s">
        <v>795</v>
      </c>
      <c r="C135" t="str">
        <f t="shared" ca="1" si="70"/>
        <v>Copy E:\加盟账单\2019账单\2019年07月\商品\账单\模型v1.0.xlsx E:\加盟账单\2019账单\2019年07月\商品\账单\29201.xlsx</v>
      </c>
      <c r="D135" t="str">
        <f t="shared" ca="1" si="71"/>
        <v>E:\加盟账单\2019账单\2019年07月\商品\账单\29201.xlsx</v>
      </c>
      <c r="E135" t="s">
        <v>451</v>
      </c>
      <c r="F135" s="80" t="str">
        <f>VLOOKUP(A:A,邮箱!$A$4:$H$155,8,0)</f>
        <v>2981894020@qq.com</v>
      </c>
      <c r="H135" t="b">
        <f t="shared" si="72"/>
        <v>1</v>
      </c>
    </row>
    <row r="136" spans="1:8" ht="15.75" thickTop="1" thickBot="1" x14ac:dyDescent="0.25">
      <c r="A136" s="45" t="s">
        <v>974</v>
      </c>
      <c r="B136" t="s">
        <v>758</v>
      </c>
      <c r="C136" t="str">
        <f t="shared" ca="1" si="70"/>
        <v>Copy E:\加盟账单\2019账单\2019年07月\商品\账单\模型v1.0.xlsx E:\加盟账单\2019账单\2019年07月\商品\账单\29202.xlsx</v>
      </c>
      <c r="D136" t="str">
        <f t="shared" ca="1" si="71"/>
        <v>E:\加盟账单\2019账单\2019年07月\商品\账单\29202.xlsx</v>
      </c>
      <c r="E136" t="s">
        <v>666</v>
      </c>
      <c r="F136" s="80" t="str">
        <f>VLOOKUP(A:A,邮箱!$A$4:$H$155,8,0)</f>
        <v>2511468765@qq.com</v>
      </c>
      <c r="H136" t="b">
        <f t="shared" si="72"/>
        <v>1</v>
      </c>
    </row>
    <row r="137" spans="1:8" ht="15.75" thickTop="1" thickBot="1" x14ac:dyDescent="0.25">
      <c r="A137" s="45" t="s">
        <v>975</v>
      </c>
      <c r="B137" t="s">
        <v>760</v>
      </c>
      <c r="C137" t="str">
        <f t="shared" ca="1" si="70"/>
        <v>Copy E:\加盟账单\2019账单\2019年07月\商品\账单\模型v1.0.xlsx E:\加盟账单\2019账单\2019年07月\商品\账单\29203.xlsx</v>
      </c>
      <c r="D137" t="str">
        <f t="shared" ca="1" si="71"/>
        <v>E:\加盟账单\2019账单\2019年07月\商品\账单\29203.xlsx</v>
      </c>
      <c r="E137" t="s">
        <v>1199</v>
      </c>
      <c r="F137" s="80" t="str">
        <f>VLOOKUP(A:A,邮箱!$A$4:$H$155,8,0)</f>
        <v>853260288@qq.com</v>
      </c>
      <c r="H137" t="b">
        <f t="shared" si="72"/>
        <v>0</v>
      </c>
    </row>
    <row r="138" spans="1:8" ht="15.75" thickTop="1" thickBot="1" x14ac:dyDescent="0.25">
      <c r="A138" s="45" t="s">
        <v>866</v>
      </c>
      <c r="B138" t="s">
        <v>776</v>
      </c>
      <c r="C138" t="str">
        <f t="shared" ca="1" si="70"/>
        <v>Copy E:\加盟账单\2019账单\2019年07月\商品\账单\模型v1.0.xlsx E:\加盟账单\2019账单\2019年07月\商品\账单\29045.xlsx</v>
      </c>
      <c r="D138" t="str">
        <f t="shared" ca="1" si="71"/>
        <v>E:\加盟账单\2019账单\2019年07月\商品\账单\29045.xlsx</v>
      </c>
      <c r="E138" t="s">
        <v>196</v>
      </c>
      <c r="F138" s="80" t="str">
        <f>VLOOKUP(A:A,邮箱!$A$4:$H$155,8,0)</f>
        <v>1825528626@qq.com</v>
      </c>
      <c r="H138" t="b">
        <f t="shared" si="72"/>
        <v>1</v>
      </c>
    </row>
    <row r="139" spans="1:8" ht="15.75" thickTop="1" thickBot="1" x14ac:dyDescent="0.25">
      <c r="A139" s="45" t="s">
        <v>976</v>
      </c>
      <c r="B139" t="s">
        <v>796</v>
      </c>
      <c r="C139" t="str">
        <f t="shared" ca="1" si="70"/>
        <v>Copy E:\加盟账单\2019账单\2019年07月\商品\账单\模型v1.0.xlsx E:\加盟账单\2019账单\2019年07月\商品\账单\29204.xlsx</v>
      </c>
      <c r="D139" t="str">
        <f t="shared" ca="1" si="71"/>
        <v>E:\加盟账单\2019账单\2019年07月\商品\账单\29204.xlsx</v>
      </c>
      <c r="E139" t="s">
        <v>772</v>
      </c>
      <c r="F139" s="80" t="str">
        <f>VLOOKUP(A:A,邮箱!$A$4:$H$155,8,0)</f>
        <v xml:space="preserve">931890968@qq.com </v>
      </c>
      <c r="H139" t="b">
        <f t="shared" ref="H139" si="73">E139=F139</f>
        <v>1</v>
      </c>
    </row>
    <row r="140" spans="1:8" ht="15.75" thickTop="1" thickBot="1" x14ac:dyDescent="0.25">
      <c r="A140" s="45" t="s">
        <v>977</v>
      </c>
      <c r="B140" t="s">
        <v>797</v>
      </c>
      <c r="C140" t="str">
        <f t="shared" ca="1" si="70"/>
        <v>Copy E:\加盟账单\2019账单\2019年07月\商品\账单\模型v1.0.xlsx E:\加盟账单\2019账单\2019年07月\商品\账单\29205.xlsx</v>
      </c>
      <c r="D140" t="str">
        <f t="shared" ca="1" si="71"/>
        <v>E:\加盟账单\2019账单\2019年07月\商品\账单\29205.xlsx</v>
      </c>
      <c r="E140" t="s">
        <v>801</v>
      </c>
      <c r="F140" s="80" t="str">
        <f>VLOOKUP(A:A,邮箱!$A$4:$H$155,8,0)</f>
        <v>77438078@qq.com</v>
      </c>
      <c r="H140" t="b">
        <f>E140=F140</f>
        <v>1</v>
      </c>
    </row>
    <row r="141" spans="1:8" ht="15.75" thickTop="1" thickBot="1" x14ac:dyDescent="0.25">
      <c r="A141" s="45" t="s">
        <v>978</v>
      </c>
      <c r="B141" t="s">
        <v>798</v>
      </c>
      <c r="C141" t="str">
        <f t="shared" ca="1" si="70"/>
        <v>Copy E:\加盟账单\2019账单\2019年07月\商品\账单\模型v1.0.xlsx E:\加盟账单\2019账单\2019年07月\商品\账单\29206.xlsx</v>
      </c>
      <c r="D141" t="str">
        <f t="shared" ca="1" si="71"/>
        <v>E:\加盟账单\2019账单\2019年07月\商品\账单\29206.xlsx</v>
      </c>
      <c r="E141" t="s">
        <v>835</v>
      </c>
      <c r="F141" s="80" t="str">
        <f>VLOOKUP(A:A,邮箱!$A$4:$H$155,8,0)</f>
        <v>1851792712@qq.com</v>
      </c>
      <c r="H141" t="b">
        <f t="shared" ref="H141" si="74">E141=F141</f>
        <v>1</v>
      </c>
    </row>
    <row r="142" spans="1:8" ht="15.75" thickTop="1" thickBot="1" x14ac:dyDescent="0.25">
      <c r="A142" s="45" t="s">
        <v>979</v>
      </c>
      <c r="B142" t="s">
        <v>799</v>
      </c>
      <c r="C142" t="str">
        <f t="shared" ca="1" si="70"/>
        <v>Copy E:\加盟账单\2019账单\2019年07月\商品\账单\模型v1.0.xlsx E:\加盟账单\2019账单\2019年07月\商品\账单\29207.xlsx</v>
      </c>
      <c r="D142" t="str">
        <f t="shared" ca="1" si="71"/>
        <v>E:\加盟账单\2019账单\2019年07月\商品\账单\29207.xlsx</v>
      </c>
      <c r="E142" t="s">
        <v>836</v>
      </c>
      <c r="F142" s="80" t="str">
        <f>VLOOKUP(A:A,邮箱!$A$4:$H$155,8,0)</f>
        <v>丁巧先微信</v>
      </c>
      <c r="H142" t="b">
        <f>E142=F142</f>
        <v>1</v>
      </c>
    </row>
    <row r="143" spans="1:8" ht="15.75" thickTop="1" thickBot="1" x14ac:dyDescent="0.25">
      <c r="A143" s="45" t="s">
        <v>980</v>
      </c>
      <c r="B143" t="s">
        <v>800</v>
      </c>
      <c r="C143" t="str">
        <f t="shared" ca="1" si="70"/>
        <v>Copy E:\加盟账单\2019账单\2019年07月\商品\账单\模型v1.0.xlsx E:\加盟账单\2019账单\2019年07月\商品\账单\29208.xlsx</v>
      </c>
      <c r="D143" t="str">
        <f t="shared" ca="1" si="71"/>
        <v>E:\加盟账单\2019账单\2019年07月\商品\账单\29208.xlsx</v>
      </c>
      <c r="E143" t="s">
        <v>773</v>
      </c>
      <c r="F143" s="80" t="str">
        <f>VLOOKUP(A:A,邮箱!$A$4:$H$155,8,0)</f>
        <v xml:space="preserve">870802495@qq.com </v>
      </c>
      <c r="H143" t="b">
        <f t="shared" ref="H143" si="75">E143=F143</f>
        <v>1</v>
      </c>
    </row>
    <row r="144" spans="1:8" ht="15.75" thickTop="1" thickBot="1" x14ac:dyDescent="0.25">
      <c r="A144" s="45" t="s">
        <v>1025</v>
      </c>
      <c r="B144" t="s">
        <v>1029</v>
      </c>
      <c r="C144" t="str">
        <f t="shared" ca="1" si="70"/>
        <v>Copy E:\加盟账单\2019账单\2019年07月\商品\账单\模型v1.0.xlsx E:\加盟账单\2019账单\2019年07月\商品\账单\29077.xlsx</v>
      </c>
      <c r="D144" t="str">
        <f t="shared" ca="1" si="71"/>
        <v>E:\加盟账单\2019账单\2019年07月\商品\账单\29077.xlsx</v>
      </c>
      <c r="E144" t="s">
        <v>1198</v>
      </c>
      <c r="F144" s="80" t="e">
        <f>VLOOKUP(A:A,邮箱!$A$4:$H$155,8,0)</f>
        <v>#N/A</v>
      </c>
      <c r="H144" t="e">
        <f>E144=F144</f>
        <v>#N/A</v>
      </c>
    </row>
    <row r="145" spans="1:8" ht="15.75" thickTop="1" thickBot="1" x14ac:dyDescent="0.25">
      <c r="A145" s="45" t="s">
        <v>982</v>
      </c>
      <c r="B145" t="s">
        <v>803</v>
      </c>
      <c r="C145" t="str">
        <f t="shared" ca="1" si="70"/>
        <v>Copy E:\加盟账单\2019账单\2019年07月\商品\账单\模型v1.0.xlsx E:\加盟账单\2019账单\2019年07月\商品\账单\29209.xlsx</v>
      </c>
      <c r="D145" s="48" t="str">
        <f t="shared" ca="1" si="71"/>
        <v>E:\加盟账单\2019账单\2019年07月\商品\账单\29209.xlsx</v>
      </c>
      <c r="E145" t="s">
        <v>804</v>
      </c>
      <c r="F145" s="80" t="str">
        <f>VLOOKUP(A:A,邮箱!$A$4:$H$155,8,0)</f>
        <v>2135029726@qq.com</v>
      </c>
      <c r="H145" t="b">
        <f>E145=F145</f>
        <v>1</v>
      </c>
    </row>
    <row r="146" spans="1:8" ht="15.75" thickTop="1" thickBot="1" x14ac:dyDescent="0.25">
      <c r="A146" s="45" t="s">
        <v>983</v>
      </c>
      <c r="B146" t="s">
        <v>811</v>
      </c>
      <c r="C146" t="str">
        <f t="shared" ca="1" si="70"/>
        <v>Copy E:\加盟账单\2019账单\2019年07月\商品\账单\模型v1.0.xlsx E:\加盟账单\2019账单\2019年07月\商品\账单\29212.xlsx</v>
      </c>
      <c r="D146" t="str">
        <f t="shared" ca="1" si="71"/>
        <v>E:\加盟账单\2019账单\2019年07月\商品\账单\29212.xlsx</v>
      </c>
      <c r="E146" t="s">
        <v>812</v>
      </c>
      <c r="F146" s="80" t="str">
        <f>VLOOKUP(A:A,邮箱!$A$4:$H$155,8,0)</f>
        <v>949404116@qq.com</v>
      </c>
      <c r="H146" t="b">
        <f t="shared" ref="H146" si="76">E146=F146</f>
        <v>1</v>
      </c>
    </row>
    <row r="147" spans="1:8" ht="15.75" thickTop="1" thickBot="1" x14ac:dyDescent="0.25">
      <c r="A147" s="45" t="s">
        <v>984</v>
      </c>
      <c r="B147" t="s">
        <v>814</v>
      </c>
      <c r="C147" t="str">
        <f t="shared" ca="1" si="70"/>
        <v>Copy E:\加盟账单\2019账单\2019年07月\商品\账单\模型v1.0.xlsx E:\加盟账单\2019账单\2019年07月\商品\账单\29213.xlsx</v>
      </c>
      <c r="D147" t="str">
        <f t="shared" ca="1" si="71"/>
        <v>E:\加盟账单\2019账单\2019年07月\商品\账单\29213.xlsx</v>
      </c>
      <c r="E147" t="s">
        <v>815</v>
      </c>
      <c r="F147" s="80" t="str">
        <f>VLOOKUP(A:A,邮箱!$A$4:$H$155,8,0)</f>
        <v>891497490@qq.com</v>
      </c>
      <c r="H147" t="b">
        <f>E147=F147</f>
        <v>1</v>
      </c>
    </row>
    <row r="148" spans="1:8" ht="15.75" thickTop="1" thickBot="1" x14ac:dyDescent="0.25">
      <c r="A148" s="45" t="s">
        <v>986</v>
      </c>
      <c r="B148" t="s">
        <v>819</v>
      </c>
      <c r="C148" t="str">
        <f t="shared" ca="1" si="70"/>
        <v>Copy E:\加盟账单\2019账单\2019年07月\商品\账单\模型v1.0.xlsx E:\加盟账单\2019账单\2019年07月\商品\账单\29214.xlsx</v>
      </c>
      <c r="D148" t="str">
        <f t="shared" ca="1" si="71"/>
        <v>E:\加盟账单\2019账单\2019年07月\商品\账单\29214.xlsx</v>
      </c>
      <c r="E148" t="s">
        <v>1001</v>
      </c>
      <c r="F148" s="80" t="str">
        <f>VLOOKUP(A:A,邮箱!$A$4:$H$155,8,0)</f>
        <v>794674985@qq.com</v>
      </c>
      <c r="H148" t="b">
        <f t="shared" ref="H148" si="77">E148=F148</f>
        <v>1</v>
      </c>
    </row>
    <row r="149" spans="1:8" ht="15.75" thickTop="1" thickBot="1" x14ac:dyDescent="0.25">
      <c r="A149" s="45" t="s">
        <v>985</v>
      </c>
      <c r="B149" t="s">
        <v>817</v>
      </c>
      <c r="C149" t="str">
        <f t="shared" ca="1" si="70"/>
        <v>Copy E:\加盟账单\2019账单\2019年07月\商品\账单\模型v1.0.xlsx E:\加盟账单\2019账单\2019年07月\商品\账单\29215.xlsx</v>
      </c>
      <c r="D149" t="str">
        <f t="shared" ca="1" si="71"/>
        <v>E:\加盟账单\2019账单\2019年07月\商品\账单\29215.xlsx</v>
      </c>
      <c r="E149" t="s">
        <v>569</v>
      </c>
      <c r="F149" s="80" t="str">
        <f>VLOOKUP(A:A,邮箱!$A$4:$H$155,8,0)</f>
        <v>1229797850@qq.com</v>
      </c>
      <c r="H149" t="b">
        <f>E149=PATH2[[#Totals],[PATH]]</f>
        <v>0</v>
      </c>
    </row>
    <row r="150" spans="1:8" ht="15.75" thickTop="1" thickBot="1" x14ac:dyDescent="0.25">
      <c r="A150" s="76" t="s">
        <v>987</v>
      </c>
      <c r="B150" t="s">
        <v>1030</v>
      </c>
      <c r="C150" t="str">
        <f t="shared" ca="1" si="70"/>
        <v>Copy E:\加盟账单\2019账单\2019年07月\商品\账单\模型v1.0.xlsx E:\加盟账单\2019账单\2019年07月\商品\账单\29217.xlsx</v>
      </c>
      <c r="D150" t="str">
        <f t="shared" ca="1" si="71"/>
        <v>E:\加盟账单\2019账单\2019年07月\商品\账单\29217.xlsx</v>
      </c>
      <c r="E150" t="s">
        <v>1002</v>
      </c>
      <c r="F150" s="80" t="str">
        <f>VLOOKUP(A:A,邮箱!$A$4:$H$155,8,0)</f>
        <v>277478307@qq.com</v>
      </c>
    </row>
    <row r="151" spans="1:8" ht="15.75" thickTop="1" thickBot="1" x14ac:dyDescent="0.25">
      <c r="A151" s="76" t="s">
        <v>839</v>
      </c>
      <c r="B151" t="s">
        <v>829</v>
      </c>
      <c r="C151" t="str">
        <f t="shared" ca="1" si="70"/>
        <v>Copy E:\加盟账单\2019账单\2019年07月\商品\账单\模型v1.0.xlsx E:\加盟账单\2019账单\2019年07月\商品\账单\29218.xlsx</v>
      </c>
      <c r="D151" t="str">
        <f t="shared" ca="1" si="71"/>
        <v>E:\加盟账单\2019账单\2019年07月\商品\账单\29218.xlsx</v>
      </c>
      <c r="E151" t="s">
        <v>1024</v>
      </c>
      <c r="F151" s="80" t="str">
        <f>VLOOKUP(A:A,邮箱!$A$4:$H$155,8,0)</f>
        <v>2578916856@qq.com</v>
      </c>
    </row>
    <row r="152" spans="1:8" ht="15.75" thickTop="1" thickBot="1" x14ac:dyDescent="0.25">
      <c r="A152" s="76" t="s">
        <v>1008</v>
      </c>
      <c r="B152" t="s">
        <v>1031</v>
      </c>
      <c r="C152" t="str">
        <f t="shared" ca="1" si="70"/>
        <v>Copy E:\加盟账单\2019账单\2019年07月\商品\账单\模型v1.0.xlsx E:\加盟账单\2019账单\2019年07月\商品\账单\29211.xlsx</v>
      </c>
      <c r="D152" t="str">
        <f t="shared" ca="1" si="71"/>
        <v>E:\加盟账单\2019账单\2019年07月\商品\账单\29211.xlsx</v>
      </c>
      <c r="E152" t="s">
        <v>1023</v>
      </c>
      <c r="F152" s="80" t="e">
        <f>VLOOKUP(A:A,邮箱!$A$4:$H$155,8,0)</f>
        <v>#N/A</v>
      </c>
    </row>
    <row r="153" spans="1:8" ht="15.75" thickTop="1" thickBot="1" x14ac:dyDescent="0.25">
      <c r="A153" s="76" t="s">
        <v>993</v>
      </c>
      <c r="C153" t="str">
        <f t="shared" ca="1" si="70"/>
        <v>Copy E:\加盟账单\2019账单\2019年07月\商品\账单\模型v1.0.xlsx E:\加盟账单\2019账单\2019年07月\商品\账单\29171.xlsx</v>
      </c>
      <c r="D153" t="str">
        <f t="shared" ca="1" si="71"/>
        <v>E:\加盟账单\2019账单\2019年07月\商品\账单\29171.xlsx</v>
      </c>
      <c r="E153" t="s">
        <v>605</v>
      </c>
      <c r="F153" s="80" t="str">
        <f>VLOOKUP(A:A,邮箱!$A$4:$H$155,8,0)</f>
        <v>747780921@qq.com</v>
      </c>
      <c r="H153">
        <v>2578916856</v>
      </c>
    </row>
    <row r="154" spans="1:8" ht="15.75" thickTop="1" thickBot="1" x14ac:dyDescent="0.25">
      <c r="A154" s="76" t="s">
        <v>840</v>
      </c>
      <c r="B154" t="s">
        <v>832</v>
      </c>
      <c r="C154" t="str">
        <f t="shared" ca="1" si="70"/>
        <v>Copy E:\加盟账单\2019账单\2019年07月\商品\账单\模型v1.0.xlsx E:\加盟账单\2019账单\2019年07月\商品\账单\29219.xlsx</v>
      </c>
      <c r="D154" t="str">
        <f t="shared" ca="1" si="71"/>
        <v>E:\加盟账单\2019账单\2019年07月\商品\账单\29219.xlsx</v>
      </c>
      <c r="E154" t="s">
        <v>838</v>
      </c>
      <c r="F154" s="80" t="str">
        <f>VLOOKUP(A:A,邮箱!$A$4:$H$155,8,0)</f>
        <v>2578916856@qq.com</v>
      </c>
    </row>
    <row r="155" spans="1:8" ht="15.75" thickTop="1" thickBot="1" x14ac:dyDescent="0.25">
      <c r="A155" s="76" t="s">
        <v>990</v>
      </c>
      <c r="B155" t="s">
        <v>1032</v>
      </c>
      <c r="C155" t="str">
        <f t="shared" ca="1" si="70"/>
        <v>Copy E:\加盟账单\2019账单\2019年07月\商品\账单\模型v1.0.xlsx E:\加盟账单\2019账单\2019年07月\商品\账单\29220.xlsx</v>
      </c>
      <c r="D155" t="str">
        <f t="shared" ca="1" si="71"/>
        <v>E:\加盟账单\2019账单\2019年07月\商品\账单\29220.xlsx</v>
      </c>
      <c r="E155" t="s">
        <v>642</v>
      </c>
      <c r="F155" s="80" t="str">
        <f>VLOOKUP(A:A,邮箱!$A$4:$H$155,8,0)</f>
        <v>254368731@qq.com</v>
      </c>
    </row>
    <row r="156" spans="1:8" ht="15.75" thickTop="1" thickBot="1" x14ac:dyDescent="0.25">
      <c r="A156" s="76" t="s">
        <v>991</v>
      </c>
      <c r="B156" t="s">
        <v>995</v>
      </c>
      <c r="C156" t="str">
        <f t="shared" ca="1" si="70"/>
        <v>Copy E:\加盟账单\2019账单\2019年07月\商品\账单\模型v1.0.xlsx E:\加盟账单\2019账单\2019年07月\商品\账单\29221.xlsx</v>
      </c>
      <c r="D156" t="str">
        <f t="shared" ca="1" si="71"/>
        <v>E:\加盟账单\2019账单\2019年07月\商品\账单\29221.xlsx</v>
      </c>
      <c r="E156" t="s">
        <v>1013</v>
      </c>
      <c r="F156" s="80" t="str">
        <f>VLOOKUP(A:A,邮箱!$A$4:$H$155,8,0)</f>
        <v xml:space="preserve">1259070487@qq.com </v>
      </c>
    </row>
    <row r="157" spans="1:8" ht="15.75" thickTop="1" thickBot="1" x14ac:dyDescent="0.25">
      <c r="A157" s="76" t="s">
        <v>992</v>
      </c>
      <c r="B157" t="s">
        <v>1033</v>
      </c>
      <c r="C157" t="str">
        <f t="shared" ca="1" si="70"/>
        <v>Copy E:\加盟账单\2019账单\2019年07月\商品\账单\模型v1.0.xlsx E:\加盟账单\2019账单\2019年07月\商品\账单\29222.xlsx</v>
      </c>
      <c r="D157" t="str">
        <f t="shared" ca="1" si="71"/>
        <v>E:\加盟账单\2019账单\2019年07月\商品\账单\29222.xlsx</v>
      </c>
      <c r="E157" t="s">
        <v>536</v>
      </c>
      <c r="F157" s="80" t="str">
        <f>VLOOKUP(A:A,邮箱!$A$4:$H$155,8,0)</f>
        <v>1242557318@qq.com</v>
      </c>
    </row>
    <row r="158" spans="1:8" ht="15.75" thickTop="1" thickBot="1" x14ac:dyDescent="0.25">
      <c r="A158" s="76" t="s">
        <v>1009</v>
      </c>
      <c r="B158" t="s">
        <v>1034</v>
      </c>
      <c r="C158" t="str">
        <f t="shared" ca="1" si="70"/>
        <v>Copy E:\加盟账单\2019账单\2019年07月\商品\账单\模型v1.0.xlsx E:\加盟账单\2019账单\2019年07月\商品\账单\29223.xlsx</v>
      </c>
      <c r="D158" t="str">
        <f t="shared" ca="1" si="71"/>
        <v>E:\加盟账单\2019账单\2019年07月\商品\账单\29223.xlsx</v>
      </c>
      <c r="E158" t="s">
        <v>1038</v>
      </c>
      <c r="F158" s="80" t="e">
        <f>VLOOKUP(A:A,邮箱!$A$4:$H$155,8,0)</f>
        <v>#N/A</v>
      </c>
    </row>
    <row r="159" spans="1:8" ht="15" thickTop="1" x14ac:dyDescent="0.2">
      <c r="A159" s="76" t="s">
        <v>1010</v>
      </c>
      <c r="B159" t="s">
        <v>1035</v>
      </c>
      <c r="C159" t="str">
        <f t="shared" ca="1" si="70"/>
        <v>Copy E:\加盟账单\2019账单\2019年07月\商品\账单\模型v1.0.xlsx E:\加盟账单\2019账单\2019年07月\商品\账单\29224.xlsx</v>
      </c>
      <c r="D159" t="str">
        <f t="shared" ca="1" si="71"/>
        <v>E:\加盟账单\2019账单\2019年07月\商品\账单\29224.xlsx</v>
      </c>
      <c r="E159">
        <v>0</v>
      </c>
      <c r="F159" s="80" t="e">
        <f>VLOOKUP(A:A,邮箱!$A$4:$H$155,8,0)</f>
        <v>#N/A</v>
      </c>
    </row>
    <row r="160" spans="1:8" x14ac:dyDescent="0.2">
      <c r="A160" s="76" t="s">
        <v>1011</v>
      </c>
      <c r="B160" t="s">
        <v>1036</v>
      </c>
      <c r="C160" t="str">
        <f t="shared" ca="1" si="70"/>
        <v>Copy E:\加盟账单\2019账单\2019年07月\商品\账单\模型v1.0.xlsx E:\加盟账单\2019账单\2019年07月\商品\账单\29225.xlsx</v>
      </c>
      <c r="D160" t="str">
        <f t="shared" ca="1" si="71"/>
        <v>E:\加盟账单\2019账单\2019年07月\商品\账单\29225.xlsx</v>
      </c>
      <c r="E160" t="s">
        <v>1022</v>
      </c>
    </row>
  </sheetData>
  <autoFilter ref="A1:E160" xr:uid="{F7ED9E58-F254-48FA-B6EF-7D552185E4A3}"/>
  <phoneticPr fontId="1" type="noConversion"/>
  <conditionalFormatting sqref="A1:A1048576">
    <cfRule type="duplicateValues" dxfId="13" priority="6"/>
  </conditionalFormatting>
  <conditionalFormatting sqref="A2:A145">
    <cfRule type="duplicateValues" dxfId="12" priority="164"/>
    <cfRule type="duplicateValues" dxfId="11" priority="165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8D7DA-F4E1-4EFC-BCF2-A70575E5849D}">
  <sheetPr codeName="Sheet1"/>
  <dimension ref="A1:C160"/>
  <sheetViews>
    <sheetView workbookViewId="0">
      <selection activeCell="E33" sqref="E33"/>
    </sheetView>
  </sheetViews>
  <sheetFormatPr defaultRowHeight="14.25" x14ac:dyDescent="0.2"/>
  <cols>
    <col min="1" max="1" width="52.25" bestFit="1" customWidth="1"/>
    <col min="3" max="3" width="4.5" bestFit="1" customWidth="1"/>
  </cols>
  <sheetData>
    <row r="1" spans="1:3" ht="15" customHeight="1" x14ac:dyDescent="0.2">
      <c r="A1" t="s">
        <v>0</v>
      </c>
      <c r="B1" t="s">
        <v>1</v>
      </c>
      <c r="C1">
        <f>COUNTA(A:A)</f>
        <v>160</v>
      </c>
    </row>
    <row r="2" spans="1:3" x14ac:dyDescent="0.2">
      <c r="A2" t="s">
        <v>1039</v>
      </c>
    </row>
    <row r="3" spans="1:3" x14ac:dyDescent="0.2">
      <c r="A3" t="s">
        <v>1040</v>
      </c>
    </row>
    <row r="4" spans="1:3" x14ac:dyDescent="0.2">
      <c r="A4" t="s">
        <v>1041</v>
      </c>
    </row>
    <row r="5" spans="1:3" x14ac:dyDescent="0.2">
      <c r="A5" t="s">
        <v>1042</v>
      </c>
    </row>
    <row r="6" spans="1:3" x14ac:dyDescent="0.2">
      <c r="A6" t="s">
        <v>1043</v>
      </c>
    </row>
    <row r="7" spans="1:3" x14ac:dyDescent="0.2">
      <c r="A7" t="s">
        <v>1044</v>
      </c>
    </row>
    <row r="8" spans="1:3" x14ac:dyDescent="0.2">
      <c r="A8" t="s">
        <v>1045</v>
      </c>
    </row>
    <row r="9" spans="1:3" x14ac:dyDescent="0.2">
      <c r="A9" t="s">
        <v>1046</v>
      </c>
    </row>
    <row r="10" spans="1:3" x14ac:dyDescent="0.2">
      <c r="A10" t="s">
        <v>1047</v>
      </c>
    </row>
    <row r="11" spans="1:3" x14ac:dyDescent="0.2">
      <c r="A11" t="s">
        <v>1048</v>
      </c>
    </row>
    <row r="12" spans="1:3" x14ac:dyDescent="0.2">
      <c r="A12" t="s">
        <v>1049</v>
      </c>
    </row>
    <row r="13" spans="1:3" x14ac:dyDescent="0.2">
      <c r="A13" t="s">
        <v>1050</v>
      </c>
    </row>
    <row r="14" spans="1:3" x14ac:dyDescent="0.2">
      <c r="A14" t="s">
        <v>1051</v>
      </c>
    </row>
    <row r="15" spans="1:3" x14ac:dyDescent="0.2">
      <c r="A15" t="s">
        <v>1052</v>
      </c>
    </row>
    <row r="16" spans="1:3" x14ac:dyDescent="0.2">
      <c r="A16" t="s">
        <v>1053</v>
      </c>
    </row>
    <row r="17" spans="1:1" x14ac:dyDescent="0.2">
      <c r="A17" t="s">
        <v>1054</v>
      </c>
    </row>
    <row r="18" spans="1:1" x14ac:dyDescent="0.2">
      <c r="A18" t="s">
        <v>1055</v>
      </c>
    </row>
    <row r="19" spans="1:1" x14ac:dyDescent="0.2">
      <c r="A19" t="s">
        <v>1056</v>
      </c>
    </row>
    <row r="20" spans="1:1" x14ac:dyDescent="0.2">
      <c r="A20" t="s">
        <v>1057</v>
      </c>
    </row>
    <row r="21" spans="1:1" x14ac:dyDescent="0.2">
      <c r="A21" t="s">
        <v>1058</v>
      </c>
    </row>
    <row r="22" spans="1:1" x14ac:dyDescent="0.2">
      <c r="A22" t="s">
        <v>1059</v>
      </c>
    </row>
    <row r="23" spans="1:1" x14ac:dyDescent="0.2">
      <c r="A23" t="s">
        <v>1060</v>
      </c>
    </row>
    <row r="24" spans="1:1" x14ac:dyDescent="0.2">
      <c r="A24" t="s">
        <v>1061</v>
      </c>
    </row>
    <row r="25" spans="1:1" x14ac:dyDescent="0.2">
      <c r="A25" t="s">
        <v>1062</v>
      </c>
    </row>
    <row r="26" spans="1:1" x14ac:dyDescent="0.2">
      <c r="A26" t="s">
        <v>1063</v>
      </c>
    </row>
    <row r="27" spans="1:1" x14ac:dyDescent="0.2">
      <c r="A27" t="s">
        <v>1064</v>
      </c>
    </row>
    <row r="28" spans="1:1" x14ac:dyDescent="0.2">
      <c r="A28" t="s">
        <v>1065</v>
      </c>
    </row>
    <row r="29" spans="1:1" x14ac:dyDescent="0.2">
      <c r="A29" t="s">
        <v>1066</v>
      </c>
    </row>
    <row r="30" spans="1:1" x14ac:dyDescent="0.2">
      <c r="A30" t="s">
        <v>1067</v>
      </c>
    </row>
    <row r="31" spans="1:1" x14ac:dyDescent="0.2">
      <c r="A31" t="s">
        <v>1068</v>
      </c>
    </row>
    <row r="32" spans="1:1" x14ac:dyDescent="0.2">
      <c r="A32" t="s">
        <v>1069</v>
      </c>
    </row>
    <row r="33" spans="1:1" x14ac:dyDescent="0.2">
      <c r="A33" t="s">
        <v>1070</v>
      </c>
    </row>
    <row r="34" spans="1:1" x14ac:dyDescent="0.2">
      <c r="A34" t="s">
        <v>1071</v>
      </c>
    </row>
    <row r="35" spans="1:1" x14ac:dyDescent="0.2">
      <c r="A35" t="s">
        <v>1072</v>
      </c>
    </row>
    <row r="36" spans="1:1" x14ac:dyDescent="0.2">
      <c r="A36" t="s">
        <v>1073</v>
      </c>
    </row>
    <row r="37" spans="1:1" x14ac:dyDescent="0.2">
      <c r="A37" t="s">
        <v>1074</v>
      </c>
    </row>
    <row r="38" spans="1:1" x14ac:dyDescent="0.2">
      <c r="A38" t="s">
        <v>1075</v>
      </c>
    </row>
    <row r="39" spans="1:1" x14ac:dyDescent="0.2">
      <c r="A39" t="s">
        <v>1076</v>
      </c>
    </row>
    <row r="40" spans="1:1" x14ac:dyDescent="0.2">
      <c r="A40" t="s">
        <v>1077</v>
      </c>
    </row>
    <row r="41" spans="1:1" x14ac:dyDescent="0.2">
      <c r="A41" t="s">
        <v>1078</v>
      </c>
    </row>
    <row r="42" spans="1:1" x14ac:dyDescent="0.2">
      <c r="A42" t="s">
        <v>1079</v>
      </c>
    </row>
    <row r="43" spans="1:1" x14ac:dyDescent="0.2">
      <c r="A43" t="s">
        <v>1080</v>
      </c>
    </row>
    <row r="44" spans="1:1" x14ac:dyDescent="0.2">
      <c r="A44" t="s">
        <v>1081</v>
      </c>
    </row>
    <row r="45" spans="1:1" x14ac:dyDescent="0.2">
      <c r="A45" t="s">
        <v>1082</v>
      </c>
    </row>
    <row r="46" spans="1:1" x14ac:dyDescent="0.2">
      <c r="A46" t="s">
        <v>1083</v>
      </c>
    </row>
    <row r="47" spans="1:1" x14ac:dyDescent="0.2">
      <c r="A47" t="s">
        <v>1084</v>
      </c>
    </row>
    <row r="48" spans="1:1" x14ac:dyDescent="0.2">
      <c r="A48" t="s">
        <v>1085</v>
      </c>
    </row>
    <row r="49" spans="1:1" x14ac:dyDescent="0.2">
      <c r="A49" t="s">
        <v>1086</v>
      </c>
    </row>
    <row r="50" spans="1:1" x14ac:dyDescent="0.2">
      <c r="A50" t="s">
        <v>1087</v>
      </c>
    </row>
    <row r="51" spans="1:1" x14ac:dyDescent="0.2">
      <c r="A51" t="s">
        <v>1088</v>
      </c>
    </row>
    <row r="52" spans="1:1" x14ac:dyDescent="0.2">
      <c r="A52" t="s">
        <v>1089</v>
      </c>
    </row>
    <row r="53" spans="1:1" x14ac:dyDescent="0.2">
      <c r="A53" t="s">
        <v>1090</v>
      </c>
    </row>
    <row r="54" spans="1:1" x14ac:dyDescent="0.2">
      <c r="A54" t="s">
        <v>1091</v>
      </c>
    </row>
    <row r="55" spans="1:1" x14ac:dyDescent="0.2">
      <c r="A55" t="s">
        <v>1092</v>
      </c>
    </row>
    <row r="56" spans="1:1" x14ac:dyDescent="0.2">
      <c r="A56" t="s">
        <v>1093</v>
      </c>
    </row>
    <row r="57" spans="1:1" x14ac:dyDescent="0.2">
      <c r="A57" t="s">
        <v>1094</v>
      </c>
    </row>
    <row r="58" spans="1:1" x14ac:dyDescent="0.2">
      <c r="A58" t="s">
        <v>1095</v>
      </c>
    </row>
    <row r="59" spans="1:1" x14ac:dyDescent="0.2">
      <c r="A59" t="s">
        <v>1096</v>
      </c>
    </row>
    <row r="60" spans="1:1" x14ac:dyDescent="0.2">
      <c r="A60" t="s">
        <v>1097</v>
      </c>
    </row>
    <row r="61" spans="1:1" x14ac:dyDescent="0.2">
      <c r="A61" t="s">
        <v>1098</v>
      </c>
    </row>
    <row r="62" spans="1:1" x14ac:dyDescent="0.2">
      <c r="A62" t="s">
        <v>1099</v>
      </c>
    </row>
    <row r="63" spans="1:1" x14ac:dyDescent="0.2">
      <c r="A63" t="s">
        <v>1100</v>
      </c>
    </row>
    <row r="64" spans="1:1" x14ac:dyDescent="0.2">
      <c r="A64" t="s">
        <v>1101</v>
      </c>
    </row>
    <row r="65" spans="1:1" x14ac:dyDescent="0.2">
      <c r="A65" t="s">
        <v>1102</v>
      </c>
    </row>
    <row r="66" spans="1:1" x14ac:dyDescent="0.2">
      <c r="A66" t="s">
        <v>1103</v>
      </c>
    </row>
    <row r="67" spans="1:1" x14ac:dyDescent="0.2">
      <c r="A67" t="s">
        <v>1104</v>
      </c>
    </row>
    <row r="68" spans="1:1" x14ac:dyDescent="0.2">
      <c r="A68" t="s">
        <v>1105</v>
      </c>
    </row>
    <row r="69" spans="1:1" x14ac:dyDescent="0.2">
      <c r="A69" t="s">
        <v>1106</v>
      </c>
    </row>
    <row r="70" spans="1:1" x14ac:dyDescent="0.2">
      <c r="A70" t="s">
        <v>1107</v>
      </c>
    </row>
    <row r="71" spans="1:1" x14ac:dyDescent="0.2">
      <c r="A71" t="s">
        <v>1108</v>
      </c>
    </row>
    <row r="72" spans="1:1" x14ac:dyDescent="0.2">
      <c r="A72" t="s">
        <v>1109</v>
      </c>
    </row>
    <row r="73" spans="1:1" x14ac:dyDescent="0.2">
      <c r="A73" t="s">
        <v>1110</v>
      </c>
    </row>
    <row r="74" spans="1:1" x14ac:dyDescent="0.2">
      <c r="A74" t="s">
        <v>1111</v>
      </c>
    </row>
    <row r="75" spans="1:1" x14ac:dyDescent="0.2">
      <c r="A75" t="s">
        <v>1112</v>
      </c>
    </row>
    <row r="76" spans="1:1" x14ac:dyDescent="0.2">
      <c r="A76" t="s">
        <v>1113</v>
      </c>
    </row>
    <row r="77" spans="1:1" x14ac:dyDescent="0.2">
      <c r="A77" t="s">
        <v>1114</v>
      </c>
    </row>
    <row r="78" spans="1:1" x14ac:dyDescent="0.2">
      <c r="A78" t="s">
        <v>1115</v>
      </c>
    </row>
    <row r="79" spans="1:1" x14ac:dyDescent="0.2">
      <c r="A79" t="s">
        <v>1116</v>
      </c>
    </row>
    <row r="80" spans="1:1" x14ac:dyDescent="0.2">
      <c r="A80" t="s">
        <v>1117</v>
      </c>
    </row>
    <row r="81" spans="1:1" x14ac:dyDescent="0.2">
      <c r="A81" t="s">
        <v>1118</v>
      </c>
    </row>
    <row r="82" spans="1:1" x14ac:dyDescent="0.2">
      <c r="A82" t="s">
        <v>1119</v>
      </c>
    </row>
    <row r="83" spans="1:1" x14ac:dyDescent="0.2">
      <c r="A83" t="s">
        <v>1120</v>
      </c>
    </row>
    <row r="84" spans="1:1" x14ac:dyDescent="0.2">
      <c r="A84" t="s">
        <v>1121</v>
      </c>
    </row>
    <row r="85" spans="1:1" x14ac:dyDescent="0.2">
      <c r="A85" t="s">
        <v>1122</v>
      </c>
    </row>
    <row r="86" spans="1:1" x14ac:dyDescent="0.2">
      <c r="A86" t="s">
        <v>1123</v>
      </c>
    </row>
    <row r="87" spans="1:1" x14ac:dyDescent="0.2">
      <c r="A87" t="s">
        <v>1124</v>
      </c>
    </row>
    <row r="88" spans="1:1" x14ac:dyDescent="0.2">
      <c r="A88" t="s">
        <v>1125</v>
      </c>
    </row>
    <row r="89" spans="1:1" x14ac:dyDescent="0.2">
      <c r="A89" t="s">
        <v>1126</v>
      </c>
    </row>
    <row r="90" spans="1:1" x14ac:dyDescent="0.2">
      <c r="A90" t="s">
        <v>1127</v>
      </c>
    </row>
    <row r="91" spans="1:1" x14ac:dyDescent="0.2">
      <c r="A91" t="s">
        <v>1128</v>
      </c>
    </row>
    <row r="92" spans="1:1" x14ac:dyDescent="0.2">
      <c r="A92" t="s">
        <v>1129</v>
      </c>
    </row>
    <row r="93" spans="1:1" x14ac:dyDescent="0.2">
      <c r="A93" t="s">
        <v>1130</v>
      </c>
    </row>
    <row r="94" spans="1:1" x14ac:dyDescent="0.2">
      <c r="A94" t="s">
        <v>1131</v>
      </c>
    </row>
    <row r="95" spans="1:1" x14ac:dyDescent="0.2">
      <c r="A95" t="s">
        <v>1132</v>
      </c>
    </row>
    <row r="96" spans="1:1" x14ac:dyDescent="0.2">
      <c r="A96" t="s">
        <v>1133</v>
      </c>
    </row>
    <row r="97" spans="1:1" x14ac:dyDescent="0.2">
      <c r="A97" t="s">
        <v>1134</v>
      </c>
    </row>
    <row r="98" spans="1:1" x14ac:dyDescent="0.2">
      <c r="A98" t="s">
        <v>1135</v>
      </c>
    </row>
    <row r="99" spans="1:1" x14ac:dyDescent="0.2">
      <c r="A99" t="s">
        <v>1136</v>
      </c>
    </row>
    <row r="100" spans="1:1" x14ac:dyDescent="0.2">
      <c r="A100" t="s">
        <v>1137</v>
      </c>
    </row>
    <row r="101" spans="1:1" x14ac:dyDescent="0.2">
      <c r="A101" t="s">
        <v>1138</v>
      </c>
    </row>
    <row r="102" spans="1:1" x14ac:dyDescent="0.2">
      <c r="A102" t="s">
        <v>1139</v>
      </c>
    </row>
    <row r="103" spans="1:1" x14ac:dyDescent="0.2">
      <c r="A103" t="s">
        <v>1140</v>
      </c>
    </row>
    <row r="104" spans="1:1" x14ac:dyDescent="0.2">
      <c r="A104" t="s">
        <v>1141</v>
      </c>
    </row>
    <row r="105" spans="1:1" x14ac:dyDescent="0.2">
      <c r="A105" t="s">
        <v>1142</v>
      </c>
    </row>
    <row r="106" spans="1:1" x14ac:dyDescent="0.2">
      <c r="A106" t="s">
        <v>1143</v>
      </c>
    </row>
    <row r="107" spans="1:1" x14ac:dyDescent="0.2">
      <c r="A107" t="s">
        <v>1144</v>
      </c>
    </row>
    <row r="108" spans="1:1" x14ac:dyDescent="0.2">
      <c r="A108" t="s">
        <v>1145</v>
      </c>
    </row>
    <row r="109" spans="1:1" x14ac:dyDescent="0.2">
      <c r="A109" t="s">
        <v>1146</v>
      </c>
    </row>
    <row r="110" spans="1:1" x14ac:dyDescent="0.2">
      <c r="A110" t="s">
        <v>1147</v>
      </c>
    </row>
    <row r="111" spans="1:1" x14ac:dyDescent="0.2">
      <c r="A111" t="s">
        <v>1148</v>
      </c>
    </row>
    <row r="112" spans="1:1" x14ac:dyDescent="0.2">
      <c r="A112" t="s">
        <v>1149</v>
      </c>
    </row>
    <row r="113" spans="1:1" x14ac:dyDescent="0.2">
      <c r="A113" t="s">
        <v>1150</v>
      </c>
    </row>
    <row r="114" spans="1:1" x14ac:dyDescent="0.2">
      <c r="A114" t="s">
        <v>1151</v>
      </c>
    </row>
    <row r="115" spans="1:1" x14ac:dyDescent="0.2">
      <c r="A115" t="s">
        <v>1152</v>
      </c>
    </row>
    <row r="116" spans="1:1" x14ac:dyDescent="0.2">
      <c r="A116" t="s">
        <v>1153</v>
      </c>
    </row>
    <row r="117" spans="1:1" x14ac:dyDescent="0.2">
      <c r="A117" t="s">
        <v>1154</v>
      </c>
    </row>
    <row r="118" spans="1:1" x14ac:dyDescent="0.2">
      <c r="A118" t="s">
        <v>1155</v>
      </c>
    </row>
    <row r="119" spans="1:1" x14ac:dyDescent="0.2">
      <c r="A119" t="s">
        <v>1156</v>
      </c>
    </row>
    <row r="120" spans="1:1" x14ac:dyDescent="0.2">
      <c r="A120" t="s">
        <v>1157</v>
      </c>
    </row>
    <row r="121" spans="1:1" x14ac:dyDescent="0.2">
      <c r="A121" t="s">
        <v>1158</v>
      </c>
    </row>
    <row r="122" spans="1:1" x14ac:dyDescent="0.2">
      <c r="A122" t="s">
        <v>1159</v>
      </c>
    </row>
    <row r="123" spans="1:1" x14ac:dyDescent="0.2">
      <c r="A123" t="s">
        <v>1160</v>
      </c>
    </row>
    <row r="124" spans="1:1" x14ac:dyDescent="0.2">
      <c r="A124" t="s">
        <v>1161</v>
      </c>
    </row>
    <row r="125" spans="1:1" x14ac:dyDescent="0.2">
      <c r="A125" t="s">
        <v>1162</v>
      </c>
    </row>
    <row r="126" spans="1:1" x14ac:dyDescent="0.2">
      <c r="A126" t="s">
        <v>1163</v>
      </c>
    </row>
    <row r="127" spans="1:1" x14ac:dyDescent="0.2">
      <c r="A127" t="s">
        <v>1164</v>
      </c>
    </row>
    <row r="128" spans="1:1" x14ac:dyDescent="0.2">
      <c r="A128" t="s">
        <v>1165</v>
      </c>
    </row>
    <row r="129" spans="1:1" x14ac:dyDescent="0.2">
      <c r="A129" t="s">
        <v>1166</v>
      </c>
    </row>
    <row r="130" spans="1:1" x14ac:dyDescent="0.2">
      <c r="A130" t="s">
        <v>1167</v>
      </c>
    </row>
    <row r="131" spans="1:1" x14ac:dyDescent="0.2">
      <c r="A131" t="s">
        <v>1168</v>
      </c>
    </row>
    <row r="132" spans="1:1" x14ac:dyDescent="0.2">
      <c r="A132" t="s">
        <v>1169</v>
      </c>
    </row>
    <row r="133" spans="1:1" x14ac:dyDescent="0.2">
      <c r="A133" t="s">
        <v>1170</v>
      </c>
    </row>
    <row r="134" spans="1:1" x14ac:dyDescent="0.2">
      <c r="A134" t="s">
        <v>1171</v>
      </c>
    </row>
    <row r="135" spans="1:1" x14ac:dyDescent="0.2">
      <c r="A135" t="s">
        <v>1172</v>
      </c>
    </row>
    <row r="136" spans="1:1" x14ac:dyDescent="0.2">
      <c r="A136" t="s">
        <v>1173</v>
      </c>
    </row>
    <row r="137" spans="1:1" x14ac:dyDescent="0.2">
      <c r="A137" t="s">
        <v>1174</v>
      </c>
    </row>
    <row r="138" spans="1:1" x14ac:dyDescent="0.2">
      <c r="A138" t="s">
        <v>1175</v>
      </c>
    </row>
    <row r="139" spans="1:1" x14ac:dyDescent="0.2">
      <c r="A139" t="s">
        <v>1176</v>
      </c>
    </row>
    <row r="140" spans="1:1" x14ac:dyDescent="0.2">
      <c r="A140" t="s">
        <v>1177</v>
      </c>
    </row>
    <row r="141" spans="1:1" x14ac:dyDescent="0.2">
      <c r="A141" t="s">
        <v>1178</v>
      </c>
    </row>
    <row r="142" spans="1:1" x14ac:dyDescent="0.2">
      <c r="A142" t="s">
        <v>1179</v>
      </c>
    </row>
    <row r="143" spans="1:1" x14ac:dyDescent="0.2">
      <c r="A143" t="s">
        <v>1180</v>
      </c>
    </row>
    <row r="144" spans="1:1" x14ac:dyDescent="0.2">
      <c r="A144" t="s">
        <v>1181</v>
      </c>
    </row>
    <row r="145" spans="1:1" x14ac:dyDescent="0.2">
      <c r="A145" t="s">
        <v>1182</v>
      </c>
    </row>
    <row r="146" spans="1:1" x14ac:dyDescent="0.2">
      <c r="A146" t="s">
        <v>1183</v>
      </c>
    </row>
    <row r="147" spans="1:1" x14ac:dyDescent="0.2">
      <c r="A147" t="s">
        <v>1184</v>
      </c>
    </row>
    <row r="148" spans="1:1" x14ac:dyDescent="0.2">
      <c r="A148" t="s">
        <v>1185</v>
      </c>
    </row>
    <row r="149" spans="1:1" x14ac:dyDescent="0.2">
      <c r="A149" t="s">
        <v>1186</v>
      </c>
    </row>
    <row r="150" spans="1:1" x14ac:dyDescent="0.2">
      <c r="A150" t="s">
        <v>1187</v>
      </c>
    </row>
    <row r="151" spans="1:1" x14ac:dyDescent="0.2">
      <c r="A151" t="s">
        <v>1188</v>
      </c>
    </row>
    <row r="152" spans="1:1" x14ac:dyDescent="0.2">
      <c r="A152" t="s">
        <v>1189</v>
      </c>
    </row>
    <row r="153" spans="1:1" x14ac:dyDescent="0.2">
      <c r="A153" t="s">
        <v>1190</v>
      </c>
    </row>
    <row r="154" spans="1:1" x14ac:dyDescent="0.2">
      <c r="A154" t="s">
        <v>1191</v>
      </c>
    </row>
    <row r="155" spans="1:1" x14ac:dyDescent="0.2">
      <c r="A155" t="s">
        <v>1192</v>
      </c>
    </row>
    <row r="156" spans="1:1" x14ac:dyDescent="0.2">
      <c r="A156" t="s">
        <v>1193</v>
      </c>
    </row>
    <row r="157" spans="1:1" x14ac:dyDescent="0.2">
      <c r="A157" t="s">
        <v>1194</v>
      </c>
    </row>
    <row r="158" spans="1:1" x14ac:dyDescent="0.2">
      <c r="A158" t="s">
        <v>1195</v>
      </c>
    </row>
    <row r="159" spans="1:1" x14ac:dyDescent="0.2">
      <c r="A159" t="s">
        <v>1196</v>
      </c>
    </row>
    <row r="160" spans="1:1" x14ac:dyDescent="0.2">
      <c r="A160" t="s">
        <v>1197</v>
      </c>
    </row>
  </sheetData>
  <autoFilter ref="G3:H68" xr:uid="{E6E5F3E7-4EDD-4AAD-8811-D271E0B6FA68}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宏2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0851-2C2B-4F77-983D-CB5D2FD8B6CC}">
  <sheetPr codeName="Sheet4"/>
  <dimension ref="B2:B4"/>
  <sheetViews>
    <sheetView workbookViewId="0">
      <selection activeCell="B35" sqref="B35"/>
    </sheetView>
  </sheetViews>
  <sheetFormatPr defaultRowHeight="14.25" x14ac:dyDescent="0.2"/>
  <sheetData>
    <row r="2" spans="2:2" x14ac:dyDescent="0.2">
      <c r="B2" t="s">
        <v>998</v>
      </c>
    </row>
    <row r="4" spans="2:2" x14ac:dyDescent="0.2">
      <c r="B4" t="s">
        <v>823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ED2D5-086D-4881-87FE-F58F17492C5B}">
  <sheetPr codeName="Sheet3"/>
  <dimension ref="A1:I180"/>
  <sheetViews>
    <sheetView workbookViewId="0">
      <selection activeCell="E6" sqref="E5:E6"/>
    </sheetView>
  </sheetViews>
  <sheetFormatPr defaultColWidth="9" defaultRowHeight="14.25" x14ac:dyDescent="0.2"/>
  <cols>
    <col min="1" max="1" width="6.25" style="7" customWidth="1"/>
    <col min="2" max="2" width="6.375" style="7" customWidth="1"/>
    <col min="3" max="3" width="16" style="7" customWidth="1"/>
    <col min="4" max="4" width="9.75" style="43" customWidth="1"/>
    <col min="5" max="5" width="30.75" style="7" bestFit="1" customWidth="1"/>
    <col min="6" max="6" width="20.375" style="7" hidden="1" customWidth="1"/>
    <col min="7" max="7" width="50.125" style="7" hidden="1" customWidth="1"/>
    <col min="8" max="8" width="28.125" style="44" bestFit="1" customWidth="1"/>
    <col min="9" max="9" width="244.75" style="7" bestFit="1" customWidth="1"/>
    <col min="10" max="11" width="6.875" style="7" bestFit="1" customWidth="1"/>
    <col min="12" max="12" width="21.875" style="7" bestFit="1" customWidth="1"/>
    <col min="13" max="16384" width="9" style="7"/>
  </cols>
  <sheetData>
    <row r="1" spans="1:9" ht="14.25" customHeight="1" x14ac:dyDescent="0.2">
      <c r="A1" s="1" t="s">
        <v>161</v>
      </c>
      <c r="B1" s="2" t="s">
        <v>162</v>
      </c>
      <c r="C1" s="3" t="s">
        <v>163</v>
      </c>
      <c r="D1" s="4" t="s">
        <v>164</v>
      </c>
      <c r="E1" s="3" t="s">
        <v>165</v>
      </c>
      <c r="F1" s="3" t="s">
        <v>166</v>
      </c>
      <c r="G1" s="3" t="s">
        <v>167</v>
      </c>
      <c r="H1" s="5" t="s">
        <v>168</v>
      </c>
      <c r="I1" s="6" t="s">
        <v>668</v>
      </c>
    </row>
    <row r="2" spans="1:9" ht="13.5" customHeight="1" x14ac:dyDescent="0.2">
      <c r="A2" s="8"/>
      <c r="B2" s="9"/>
      <c r="C2" s="10"/>
      <c r="D2" s="11" t="s">
        <v>4</v>
      </c>
      <c r="E2" s="3" t="s">
        <v>169</v>
      </c>
      <c r="F2" s="10" t="s">
        <v>170</v>
      </c>
      <c r="G2" s="12"/>
      <c r="H2" s="13" t="s">
        <v>669</v>
      </c>
      <c r="I2" s="6" t="s">
        <v>827</v>
      </c>
    </row>
    <row r="3" spans="1:9" x14ac:dyDescent="0.2">
      <c r="A3" s="8">
        <v>31</v>
      </c>
      <c r="B3" s="9" t="s">
        <v>172</v>
      </c>
      <c r="C3" s="10" t="s">
        <v>173</v>
      </c>
      <c r="D3" s="11" t="s">
        <v>5</v>
      </c>
      <c r="E3" s="3" t="s">
        <v>174</v>
      </c>
      <c r="F3" s="10" t="s">
        <v>175</v>
      </c>
      <c r="G3" s="12" t="s">
        <v>176</v>
      </c>
      <c r="H3" s="14" t="s">
        <v>177</v>
      </c>
      <c r="I3" s="6" t="s">
        <v>827</v>
      </c>
    </row>
    <row r="4" spans="1:9" x14ac:dyDescent="0.2">
      <c r="A4" s="8">
        <v>41</v>
      </c>
      <c r="B4" s="15" t="s">
        <v>172</v>
      </c>
      <c r="C4" s="10" t="s">
        <v>178</v>
      </c>
      <c r="D4" s="11" t="s">
        <v>6</v>
      </c>
      <c r="E4" s="3" t="s">
        <v>179</v>
      </c>
      <c r="F4" s="10" t="s">
        <v>180</v>
      </c>
      <c r="G4" s="12" t="s">
        <v>670</v>
      </c>
      <c r="H4" s="16" t="s">
        <v>671</v>
      </c>
      <c r="I4" s="6" t="s">
        <v>827</v>
      </c>
    </row>
    <row r="5" spans="1:9" ht="14.25" customHeight="1" x14ac:dyDescent="0.2">
      <c r="A5" s="17">
        <v>38</v>
      </c>
      <c r="B5" s="15" t="s">
        <v>182</v>
      </c>
      <c r="C5" s="10" t="s">
        <v>183</v>
      </c>
      <c r="D5" s="11" t="s">
        <v>7</v>
      </c>
      <c r="E5" s="3" t="s">
        <v>184</v>
      </c>
      <c r="F5" s="10" t="s">
        <v>185</v>
      </c>
      <c r="G5" s="12">
        <v>13687119992</v>
      </c>
      <c r="H5" s="16" t="s">
        <v>186</v>
      </c>
      <c r="I5" s="6" t="s">
        <v>827</v>
      </c>
    </row>
    <row r="6" spans="1:9" ht="14.25" customHeight="1" x14ac:dyDescent="0.2">
      <c r="A6" s="17">
        <v>63</v>
      </c>
      <c r="B6" s="15" t="s">
        <v>187</v>
      </c>
      <c r="C6" s="10" t="s">
        <v>188</v>
      </c>
      <c r="D6" s="11" t="s">
        <v>8</v>
      </c>
      <c r="E6" s="3" t="s">
        <v>189</v>
      </c>
      <c r="F6" s="10" t="s">
        <v>190</v>
      </c>
      <c r="G6" s="12">
        <v>13912818031</v>
      </c>
      <c r="H6" s="14" t="s">
        <v>191</v>
      </c>
      <c r="I6" s="6" t="s">
        <v>827</v>
      </c>
    </row>
    <row r="7" spans="1:9" ht="14.25" customHeight="1" x14ac:dyDescent="0.2">
      <c r="A7" s="17">
        <v>8</v>
      </c>
      <c r="B7" s="15" t="s">
        <v>172</v>
      </c>
      <c r="C7" s="10" t="s">
        <v>192</v>
      </c>
      <c r="D7" s="11" t="s">
        <v>9</v>
      </c>
      <c r="E7" s="3" t="s">
        <v>193</v>
      </c>
      <c r="F7" s="10" t="s">
        <v>194</v>
      </c>
      <c r="G7" s="12" t="s">
        <v>195</v>
      </c>
      <c r="H7" s="16" t="s">
        <v>672</v>
      </c>
      <c r="I7" s="6" t="s">
        <v>827</v>
      </c>
    </row>
    <row r="8" spans="1:9" ht="14.25" customHeight="1" x14ac:dyDescent="0.2">
      <c r="A8" s="17">
        <v>4</v>
      </c>
      <c r="B8" s="15" t="s">
        <v>172</v>
      </c>
      <c r="C8" s="10" t="s">
        <v>192</v>
      </c>
      <c r="D8" s="11" t="s">
        <v>10</v>
      </c>
      <c r="E8" s="3" t="s">
        <v>197</v>
      </c>
      <c r="F8" s="10" t="s">
        <v>198</v>
      </c>
      <c r="G8" s="12" t="s">
        <v>199</v>
      </c>
      <c r="H8" s="14" t="s">
        <v>200</v>
      </c>
      <c r="I8" s="6" t="s">
        <v>827</v>
      </c>
    </row>
    <row r="9" spans="1:9" ht="14.25" customHeight="1" x14ac:dyDescent="0.2">
      <c r="A9" s="17">
        <v>5</v>
      </c>
      <c r="B9" s="15" t="s">
        <v>172</v>
      </c>
      <c r="C9" s="10" t="s">
        <v>192</v>
      </c>
      <c r="D9" s="11" t="s">
        <v>11</v>
      </c>
      <c r="E9" s="3" t="s">
        <v>201</v>
      </c>
      <c r="F9" s="10" t="s">
        <v>202</v>
      </c>
      <c r="G9" s="12" t="s">
        <v>203</v>
      </c>
      <c r="H9" s="16" t="s">
        <v>673</v>
      </c>
      <c r="I9" s="6" t="s">
        <v>834</v>
      </c>
    </row>
    <row r="10" spans="1:9" ht="14.25" customHeight="1" x14ac:dyDescent="0.2">
      <c r="A10" s="17">
        <v>10</v>
      </c>
      <c r="B10" s="15" t="s">
        <v>172</v>
      </c>
      <c r="C10" s="10" t="s">
        <v>192</v>
      </c>
      <c r="D10" s="11" t="s">
        <v>12</v>
      </c>
      <c r="E10" s="3" t="s">
        <v>204</v>
      </c>
      <c r="F10" s="10" t="s">
        <v>205</v>
      </c>
      <c r="G10" s="12" t="s">
        <v>206</v>
      </c>
      <c r="H10" s="14" t="s">
        <v>207</v>
      </c>
      <c r="I10" s="6" t="s">
        <v>827</v>
      </c>
    </row>
    <row r="11" spans="1:9" ht="14.25" customHeight="1" x14ac:dyDescent="0.2">
      <c r="A11" s="17">
        <v>7</v>
      </c>
      <c r="B11" s="15" t="s">
        <v>172</v>
      </c>
      <c r="C11" s="10" t="s">
        <v>192</v>
      </c>
      <c r="D11" s="11" t="s">
        <v>13</v>
      </c>
      <c r="E11" s="3" t="s">
        <v>208</v>
      </c>
      <c r="F11" s="10" t="s">
        <v>209</v>
      </c>
      <c r="G11" s="12" t="s">
        <v>210</v>
      </c>
      <c r="H11" s="18" t="s">
        <v>211</v>
      </c>
      <c r="I11" s="6" t="s">
        <v>827</v>
      </c>
    </row>
    <row r="12" spans="1:9" ht="14.25" customHeight="1" x14ac:dyDescent="0.2">
      <c r="A12" s="17">
        <v>11</v>
      </c>
      <c r="B12" s="15" t="s">
        <v>172</v>
      </c>
      <c r="C12" s="10" t="s">
        <v>212</v>
      </c>
      <c r="D12" s="11" t="s">
        <v>14</v>
      </c>
      <c r="E12" s="3" t="s">
        <v>213</v>
      </c>
      <c r="F12" s="10" t="s">
        <v>214</v>
      </c>
      <c r="G12" s="12" t="s">
        <v>215</v>
      </c>
      <c r="H12" s="14" t="s">
        <v>216</v>
      </c>
      <c r="I12" s="6" t="s">
        <v>827</v>
      </c>
    </row>
    <row r="13" spans="1:9" ht="14.25" customHeight="1" x14ac:dyDescent="0.2">
      <c r="A13" s="17">
        <v>1</v>
      </c>
      <c r="B13" s="15" t="s">
        <v>172</v>
      </c>
      <c r="C13" s="10" t="s">
        <v>217</v>
      </c>
      <c r="D13" s="11" t="s">
        <v>15</v>
      </c>
      <c r="E13" s="3" t="s">
        <v>218</v>
      </c>
      <c r="F13" s="10" t="s">
        <v>219</v>
      </c>
      <c r="G13" s="12" t="s">
        <v>220</v>
      </c>
      <c r="H13" s="14" t="s">
        <v>221</v>
      </c>
      <c r="I13" s="6" t="s">
        <v>827</v>
      </c>
    </row>
    <row r="14" spans="1:9" ht="14.25" customHeight="1" x14ac:dyDescent="0.2">
      <c r="A14" s="17">
        <v>3</v>
      </c>
      <c r="B14" s="15" t="s">
        <v>172</v>
      </c>
      <c r="C14" s="10" t="s">
        <v>192</v>
      </c>
      <c r="D14" s="11" t="s">
        <v>16</v>
      </c>
      <c r="E14" s="3" t="s">
        <v>222</v>
      </c>
      <c r="F14" s="10" t="s">
        <v>223</v>
      </c>
      <c r="G14" s="12" t="s">
        <v>224</v>
      </c>
      <c r="H14" s="14" t="s">
        <v>200</v>
      </c>
      <c r="I14" s="6" t="s">
        <v>827</v>
      </c>
    </row>
    <row r="15" spans="1:9" ht="14.25" customHeight="1" x14ac:dyDescent="0.2">
      <c r="A15" s="17">
        <v>2</v>
      </c>
      <c r="B15" s="15" t="s">
        <v>172</v>
      </c>
      <c r="C15" s="10" t="s">
        <v>225</v>
      </c>
      <c r="D15" s="11" t="s">
        <v>17</v>
      </c>
      <c r="E15" s="3" t="s">
        <v>226</v>
      </c>
      <c r="F15" s="10" t="s">
        <v>227</v>
      </c>
      <c r="G15" s="12" t="s">
        <v>228</v>
      </c>
      <c r="H15" s="14" t="s">
        <v>229</v>
      </c>
      <c r="I15" s="6" t="s">
        <v>827</v>
      </c>
    </row>
    <row r="16" spans="1:9" ht="14.25" customHeight="1" x14ac:dyDescent="0.2">
      <c r="A16" s="17">
        <v>6</v>
      </c>
      <c r="B16" s="15" t="s">
        <v>172</v>
      </c>
      <c r="C16" s="10" t="s">
        <v>212</v>
      </c>
      <c r="D16" s="11" t="s">
        <v>18</v>
      </c>
      <c r="E16" s="3" t="s">
        <v>230</v>
      </c>
      <c r="F16" s="10" t="s">
        <v>231</v>
      </c>
      <c r="G16" s="12" t="s">
        <v>232</v>
      </c>
      <c r="H16" s="14" t="s">
        <v>233</v>
      </c>
      <c r="I16" s="6" t="s">
        <v>827</v>
      </c>
    </row>
    <row r="17" spans="1:9" ht="14.25" customHeight="1" x14ac:dyDescent="0.2">
      <c r="A17" s="17">
        <v>29</v>
      </c>
      <c r="B17" s="15" t="s">
        <v>172</v>
      </c>
      <c r="C17" s="10" t="s">
        <v>234</v>
      </c>
      <c r="D17" s="11" t="s">
        <v>19</v>
      </c>
      <c r="E17" s="3" t="s">
        <v>235</v>
      </c>
      <c r="F17" s="10" t="s">
        <v>236</v>
      </c>
      <c r="G17" s="10">
        <v>13839622551</v>
      </c>
      <c r="H17" s="14" t="s">
        <v>237</v>
      </c>
      <c r="I17" s="6" t="s">
        <v>827</v>
      </c>
    </row>
    <row r="18" spans="1:9" ht="14.25" customHeight="1" x14ac:dyDescent="0.2">
      <c r="A18" s="17">
        <v>37</v>
      </c>
      <c r="B18" s="15" t="s">
        <v>172</v>
      </c>
      <c r="C18" s="10" t="s">
        <v>217</v>
      </c>
      <c r="D18" s="11" t="s">
        <v>20</v>
      </c>
      <c r="E18" s="3" t="s">
        <v>238</v>
      </c>
      <c r="F18" s="10" t="s">
        <v>239</v>
      </c>
      <c r="G18" s="12" t="s">
        <v>240</v>
      </c>
      <c r="H18" s="14" t="s">
        <v>241</v>
      </c>
      <c r="I18" s="6" t="s">
        <v>827</v>
      </c>
    </row>
    <row r="19" spans="1:9" ht="14.25" customHeight="1" x14ac:dyDescent="0.2">
      <c r="A19" s="17">
        <v>46</v>
      </c>
      <c r="B19" s="15" t="s">
        <v>172</v>
      </c>
      <c r="C19" s="10" t="s">
        <v>242</v>
      </c>
      <c r="D19" s="11" t="s">
        <v>21</v>
      </c>
      <c r="E19" s="3" t="s">
        <v>243</v>
      </c>
      <c r="F19" s="10" t="s">
        <v>674</v>
      </c>
      <c r="G19" s="12"/>
      <c r="H19" s="14" t="s">
        <v>244</v>
      </c>
      <c r="I19" s="6" t="s">
        <v>827</v>
      </c>
    </row>
    <row r="20" spans="1:9" ht="14.25" customHeight="1" x14ac:dyDescent="0.2">
      <c r="A20" s="17">
        <v>61</v>
      </c>
      <c r="B20" s="15" t="s">
        <v>245</v>
      </c>
      <c r="C20" s="10" t="s">
        <v>246</v>
      </c>
      <c r="D20" s="11" t="s">
        <v>22</v>
      </c>
      <c r="E20" s="19" t="s">
        <v>247</v>
      </c>
      <c r="F20" s="10"/>
      <c r="G20" s="10"/>
      <c r="H20" s="16" t="s">
        <v>248</v>
      </c>
      <c r="I20" s="6" t="s">
        <v>827</v>
      </c>
    </row>
    <row r="21" spans="1:9" ht="14.25" customHeight="1" x14ac:dyDescent="0.2">
      <c r="A21" s="17">
        <v>33</v>
      </c>
      <c r="B21" s="15" t="s">
        <v>172</v>
      </c>
      <c r="C21" s="10" t="s">
        <v>249</v>
      </c>
      <c r="D21" s="11" t="s">
        <v>23</v>
      </c>
      <c r="E21" s="19" t="s">
        <v>250</v>
      </c>
      <c r="F21" s="10" t="s">
        <v>251</v>
      </c>
      <c r="G21" s="12" t="s">
        <v>252</v>
      </c>
      <c r="H21" s="13" t="s">
        <v>253</v>
      </c>
      <c r="I21" s="6" t="s">
        <v>827</v>
      </c>
    </row>
    <row r="22" spans="1:9" ht="14.25" customHeight="1" x14ac:dyDescent="0.2">
      <c r="A22" s="17">
        <v>51</v>
      </c>
      <c r="B22" s="15" t="s">
        <v>172</v>
      </c>
      <c r="C22" s="10" t="s">
        <v>254</v>
      </c>
      <c r="D22" s="11" t="s">
        <v>24</v>
      </c>
      <c r="E22" s="3" t="s">
        <v>255</v>
      </c>
      <c r="F22" s="10" t="s">
        <v>256</v>
      </c>
      <c r="G22" s="12">
        <v>18903939991</v>
      </c>
      <c r="H22" s="16" t="s">
        <v>675</v>
      </c>
      <c r="I22" s="6" t="s">
        <v>827</v>
      </c>
    </row>
    <row r="23" spans="1:9" ht="14.25" customHeight="1" x14ac:dyDescent="0.2">
      <c r="A23" s="17">
        <v>83</v>
      </c>
      <c r="B23" s="15" t="s">
        <v>172</v>
      </c>
      <c r="C23" s="10" t="s">
        <v>254</v>
      </c>
      <c r="D23" s="11" t="s">
        <v>25</v>
      </c>
      <c r="E23" s="3" t="s">
        <v>258</v>
      </c>
      <c r="F23" s="10"/>
      <c r="G23" s="10"/>
      <c r="H23" s="16" t="s">
        <v>989</v>
      </c>
      <c r="I23" s="6" t="s">
        <v>827</v>
      </c>
    </row>
    <row r="24" spans="1:9" ht="14.25" customHeight="1" x14ac:dyDescent="0.2">
      <c r="A24" s="17">
        <v>64</v>
      </c>
      <c r="B24" s="15" t="s">
        <v>259</v>
      </c>
      <c r="C24" s="10" t="s">
        <v>260</v>
      </c>
      <c r="D24" s="11" t="s">
        <v>26</v>
      </c>
      <c r="E24" s="19" t="s">
        <v>261</v>
      </c>
      <c r="F24" s="10" t="s">
        <v>262</v>
      </c>
      <c r="G24" s="12">
        <v>18631979188</v>
      </c>
      <c r="H24" s="14" t="s">
        <v>263</v>
      </c>
      <c r="I24" s="6" t="s">
        <v>827</v>
      </c>
    </row>
    <row r="25" spans="1:9" ht="14.25" customHeight="1" x14ac:dyDescent="0.2">
      <c r="A25" s="17">
        <v>67</v>
      </c>
      <c r="B25" s="15" t="s">
        <v>264</v>
      </c>
      <c r="C25" s="10" t="s">
        <v>265</v>
      </c>
      <c r="D25" s="11" t="s">
        <v>27</v>
      </c>
      <c r="E25" s="3" t="s">
        <v>266</v>
      </c>
      <c r="F25" s="10" t="s">
        <v>267</v>
      </c>
      <c r="G25" s="12">
        <v>18861521850</v>
      </c>
      <c r="H25" s="14" t="s">
        <v>268</v>
      </c>
      <c r="I25" s="6" t="s">
        <v>827</v>
      </c>
    </row>
    <row r="26" spans="1:9" ht="14.25" customHeight="1" x14ac:dyDescent="0.2">
      <c r="A26" s="17">
        <v>69</v>
      </c>
      <c r="B26" s="15" t="s">
        <v>269</v>
      </c>
      <c r="C26" s="10" t="s">
        <v>270</v>
      </c>
      <c r="D26" s="11" t="s">
        <v>28</v>
      </c>
      <c r="E26" s="19" t="s">
        <v>271</v>
      </c>
      <c r="F26" s="10" t="s">
        <v>272</v>
      </c>
      <c r="G26" s="12">
        <v>13810208127</v>
      </c>
      <c r="H26" s="14" t="s">
        <v>273</v>
      </c>
      <c r="I26" s="6" t="s">
        <v>827</v>
      </c>
    </row>
    <row r="27" spans="1:9" ht="14.25" customHeight="1" x14ac:dyDescent="0.2">
      <c r="A27" s="17">
        <v>19</v>
      </c>
      <c r="B27" s="15" t="s">
        <v>172</v>
      </c>
      <c r="C27" s="10" t="s">
        <v>274</v>
      </c>
      <c r="D27" s="11" t="s">
        <v>29</v>
      </c>
      <c r="E27" s="3" t="s">
        <v>275</v>
      </c>
      <c r="F27" s="10" t="s">
        <v>276</v>
      </c>
      <c r="G27" s="12"/>
      <c r="H27" s="14" t="s">
        <v>277</v>
      </c>
      <c r="I27" s="6" t="s">
        <v>827</v>
      </c>
    </row>
    <row r="28" spans="1:9" ht="14.25" customHeight="1" x14ac:dyDescent="0.2">
      <c r="A28" s="17">
        <v>25</v>
      </c>
      <c r="B28" s="15" t="s">
        <v>278</v>
      </c>
      <c r="C28" s="10" t="s">
        <v>279</v>
      </c>
      <c r="D28" s="11" t="s">
        <v>30</v>
      </c>
      <c r="E28" s="3" t="s">
        <v>280</v>
      </c>
      <c r="F28" s="10" t="s">
        <v>281</v>
      </c>
      <c r="G28" s="12">
        <v>13931219038</v>
      </c>
      <c r="H28" s="16" t="s">
        <v>1016</v>
      </c>
      <c r="I28" s="6" t="s">
        <v>827</v>
      </c>
    </row>
    <row r="29" spans="1:9" ht="14.25" customHeight="1" x14ac:dyDescent="0.2">
      <c r="A29" s="17">
        <v>20</v>
      </c>
      <c r="B29" s="15" t="s">
        <v>172</v>
      </c>
      <c r="C29" s="10" t="s">
        <v>192</v>
      </c>
      <c r="D29" s="11" t="s">
        <v>31</v>
      </c>
      <c r="E29" s="3" t="s">
        <v>283</v>
      </c>
      <c r="F29" s="10" t="s">
        <v>284</v>
      </c>
      <c r="G29" s="12">
        <v>18297878777</v>
      </c>
      <c r="H29" s="16" t="s">
        <v>676</v>
      </c>
      <c r="I29" s="6" t="s">
        <v>827</v>
      </c>
    </row>
    <row r="30" spans="1:9" ht="14.25" customHeight="1" x14ac:dyDescent="0.2">
      <c r="A30" s="17">
        <v>23</v>
      </c>
      <c r="B30" s="15" t="s">
        <v>172</v>
      </c>
      <c r="C30" s="10" t="s">
        <v>217</v>
      </c>
      <c r="D30" s="11" t="s">
        <v>32</v>
      </c>
      <c r="E30" s="3" t="s">
        <v>286</v>
      </c>
      <c r="F30" s="10" t="s">
        <v>287</v>
      </c>
      <c r="G30" s="12"/>
      <c r="H30" s="14" t="s">
        <v>288</v>
      </c>
      <c r="I30" s="6" t="s">
        <v>827</v>
      </c>
    </row>
    <row r="31" spans="1:9" ht="14.25" customHeight="1" x14ac:dyDescent="0.2">
      <c r="A31" s="20"/>
      <c r="B31" s="21"/>
      <c r="C31" s="22"/>
      <c r="D31" s="11" t="s">
        <v>33</v>
      </c>
      <c r="E31" s="19" t="s">
        <v>289</v>
      </c>
      <c r="F31" s="22" t="s">
        <v>290</v>
      </c>
      <c r="G31" s="23">
        <v>13783367390</v>
      </c>
      <c r="H31" s="14" t="s">
        <v>291</v>
      </c>
      <c r="I31" s="6" t="s">
        <v>827</v>
      </c>
    </row>
    <row r="32" spans="1:9" ht="14.25" customHeight="1" x14ac:dyDescent="0.2">
      <c r="A32" s="17">
        <v>54</v>
      </c>
      <c r="B32" s="15" t="s">
        <v>172</v>
      </c>
      <c r="C32" s="10" t="s">
        <v>192</v>
      </c>
      <c r="D32" s="11" t="s">
        <v>34</v>
      </c>
      <c r="E32" s="3" t="s">
        <v>292</v>
      </c>
      <c r="F32" s="10" t="s">
        <v>293</v>
      </c>
      <c r="G32" s="12">
        <v>13837672129</v>
      </c>
      <c r="H32" s="14" t="s">
        <v>808</v>
      </c>
      <c r="I32" s="6" t="s">
        <v>827</v>
      </c>
    </row>
    <row r="33" spans="1:9" ht="14.25" customHeight="1" x14ac:dyDescent="0.2">
      <c r="A33" s="17">
        <v>34</v>
      </c>
      <c r="B33" s="15" t="s">
        <v>245</v>
      </c>
      <c r="C33" s="10" t="s">
        <v>294</v>
      </c>
      <c r="D33" s="11" t="s">
        <v>35</v>
      </c>
      <c r="E33" s="3" t="s">
        <v>295</v>
      </c>
      <c r="F33" s="10" t="s">
        <v>296</v>
      </c>
      <c r="G33" s="12" t="s">
        <v>297</v>
      </c>
      <c r="H33" s="16" t="s">
        <v>677</v>
      </c>
      <c r="I33" s="6" t="s">
        <v>827</v>
      </c>
    </row>
    <row r="34" spans="1:9" ht="14.25" customHeight="1" x14ac:dyDescent="0.2">
      <c r="A34" s="17">
        <v>40</v>
      </c>
      <c r="B34" s="15" t="s">
        <v>298</v>
      </c>
      <c r="C34" s="10" t="s">
        <v>299</v>
      </c>
      <c r="D34" s="11" t="s">
        <v>36</v>
      </c>
      <c r="E34" s="3" t="s">
        <v>300</v>
      </c>
      <c r="F34" s="10" t="s">
        <v>301</v>
      </c>
      <c r="G34" s="12">
        <v>18651827258</v>
      </c>
      <c r="H34" s="14" t="s">
        <v>302</v>
      </c>
      <c r="I34" s="6" t="s">
        <v>827</v>
      </c>
    </row>
    <row r="35" spans="1:9" ht="14.25" customHeight="1" x14ac:dyDescent="0.2">
      <c r="A35" s="24"/>
      <c r="B35" s="25" t="s">
        <v>259</v>
      </c>
      <c r="C35" s="3"/>
      <c r="D35" s="4" t="s">
        <v>37</v>
      </c>
      <c r="E35" s="3" t="s">
        <v>303</v>
      </c>
      <c r="F35" s="3" t="s">
        <v>304</v>
      </c>
      <c r="G35" s="26"/>
      <c r="H35" s="27" t="s">
        <v>305</v>
      </c>
      <c r="I35" s="6" t="s">
        <v>827</v>
      </c>
    </row>
    <row r="36" spans="1:9" ht="14.25" customHeight="1" x14ac:dyDescent="0.2">
      <c r="A36" s="17">
        <v>49</v>
      </c>
      <c r="B36" s="15" t="s">
        <v>172</v>
      </c>
      <c r="C36" s="10" t="s">
        <v>306</v>
      </c>
      <c r="D36" s="11" t="s">
        <v>38</v>
      </c>
      <c r="E36" s="3" t="s">
        <v>307</v>
      </c>
      <c r="F36" s="10" t="s">
        <v>308</v>
      </c>
      <c r="G36" s="12">
        <v>18503959986</v>
      </c>
      <c r="H36" s="14" t="s">
        <v>309</v>
      </c>
      <c r="I36" s="6" t="s">
        <v>827</v>
      </c>
    </row>
    <row r="37" spans="1:9" ht="14.25" customHeight="1" x14ac:dyDescent="0.2">
      <c r="A37" s="17">
        <v>72</v>
      </c>
      <c r="B37" s="15" t="s">
        <v>310</v>
      </c>
      <c r="C37" s="10" t="s">
        <v>311</v>
      </c>
      <c r="D37" s="11" t="s">
        <v>39</v>
      </c>
      <c r="E37" s="3" t="s">
        <v>312</v>
      </c>
      <c r="F37" s="10" t="s">
        <v>313</v>
      </c>
      <c r="G37" s="12">
        <v>13953888878</v>
      </c>
      <c r="H37" s="16" t="s">
        <v>1015</v>
      </c>
      <c r="I37" s="6" t="s">
        <v>827</v>
      </c>
    </row>
    <row r="38" spans="1:9" ht="14.25" customHeight="1" x14ac:dyDescent="0.2">
      <c r="A38" s="17">
        <v>74</v>
      </c>
      <c r="B38" s="15" t="s">
        <v>315</v>
      </c>
      <c r="C38" s="10" t="s">
        <v>316</v>
      </c>
      <c r="D38" s="11" t="s">
        <v>40</v>
      </c>
      <c r="E38" s="3" t="s">
        <v>317</v>
      </c>
      <c r="F38" s="10" t="s">
        <v>318</v>
      </c>
      <c r="G38" s="12">
        <v>18196435999</v>
      </c>
      <c r="H38" s="14" t="s">
        <v>319</v>
      </c>
      <c r="I38" s="6" t="s">
        <v>827</v>
      </c>
    </row>
    <row r="39" spans="1:9" ht="14.25" customHeight="1" x14ac:dyDescent="0.2">
      <c r="A39" s="17">
        <v>73</v>
      </c>
      <c r="B39" s="15" t="s">
        <v>172</v>
      </c>
      <c r="C39" s="10" t="s">
        <v>249</v>
      </c>
      <c r="D39" s="11" t="s">
        <v>41</v>
      </c>
      <c r="E39" s="3" t="s">
        <v>320</v>
      </c>
      <c r="F39" s="10" t="s">
        <v>321</v>
      </c>
      <c r="G39" s="12">
        <v>13839827336</v>
      </c>
      <c r="H39" s="14" t="s">
        <v>322</v>
      </c>
      <c r="I39" s="6" t="s">
        <v>827</v>
      </c>
    </row>
    <row r="40" spans="1:9" ht="14.25" customHeight="1" x14ac:dyDescent="0.2">
      <c r="A40" s="17">
        <v>75</v>
      </c>
      <c r="B40" s="15" t="s">
        <v>323</v>
      </c>
      <c r="C40" s="10" t="s">
        <v>324</v>
      </c>
      <c r="D40" s="11" t="s">
        <v>42</v>
      </c>
      <c r="E40" s="3" t="s">
        <v>325</v>
      </c>
      <c r="F40" s="10" t="s">
        <v>326</v>
      </c>
      <c r="G40" s="12">
        <v>15241469436</v>
      </c>
      <c r="H40" s="14" t="s">
        <v>327</v>
      </c>
      <c r="I40" s="6" t="s">
        <v>827</v>
      </c>
    </row>
    <row r="41" spans="1:9" ht="14.25" customHeight="1" x14ac:dyDescent="0.2">
      <c r="A41" s="17">
        <v>76</v>
      </c>
      <c r="B41" s="15" t="s">
        <v>315</v>
      </c>
      <c r="C41" s="10" t="s">
        <v>328</v>
      </c>
      <c r="D41" s="11" t="s">
        <v>43</v>
      </c>
      <c r="E41" s="3" t="s">
        <v>329</v>
      </c>
      <c r="F41" s="10" t="s">
        <v>330</v>
      </c>
      <c r="G41" s="12">
        <v>13657569990</v>
      </c>
      <c r="H41" s="16" t="s">
        <v>1017</v>
      </c>
      <c r="I41" s="6" t="s">
        <v>827</v>
      </c>
    </row>
    <row r="42" spans="1:9" ht="14.25" customHeight="1" x14ac:dyDescent="0.2">
      <c r="A42" s="17">
        <v>79</v>
      </c>
      <c r="B42" s="15" t="s">
        <v>172</v>
      </c>
      <c r="C42" s="10" t="s">
        <v>249</v>
      </c>
      <c r="D42" s="11" t="s">
        <v>44</v>
      </c>
      <c r="E42" s="3" t="s">
        <v>332</v>
      </c>
      <c r="F42" s="10" t="s">
        <v>333</v>
      </c>
      <c r="G42" s="12">
        <v>13803751035</v>
      </c>
      <c r="H42" s="14" t="s">
        <v>334</v>
      </c>
      <c r="I42" s="6" t="s">
        <v>827</v>
      </c>
    </row>
    <row r="43" spans="1:9" ht="14.25" customHeight="1" x14ac:dyDescent="0.2">
      <c r="A43" s="17">
        <v>87</v>
      </c>
      <c r="B43" s="15" t="s">
        <v>172</v>
      </c>
      <c r="C43" s="10" t="s">
        <v>335</v>
      </c>
      <c r="D43" s="11" t="s">
        <v>45</v>
      </c>
      <c r="E43" s="3" t="s">
        <v>336</v>
      </c>
      <c r="F43" s="10" t="s">
        <v>337</v>
      </c>
      <c r="G43" s="12" t="s">
        <v>338</v>
      </c>
      <c r="H43" s="16" t="s">
        <v>678</v>
      </c>
      <c r="I43" s="6" t="s">
        <v>827</v>
      </c>
    </row>
    <row r="44" spans="1:9" ht="14.25" customHeight="1" x14ac:dyDescent="0.2">
      <c r="A44" s="17">
        <v>78</v>
      </c>
      <c r="B44" s="15" t="s">
        <v>172</v>
      </c>
      <c r="C44" s="10" t="s">
        <v>274</v>
      </c>
      <c r="D44" s="11" t="s">
        <v>46</v>
      </c>
      <c r="E44" s="3" t="s">
        <v>340</v>
      </c>
      <c r="F44" s="10" t="s">
        <v>341</v>
      </c>
      <c r="G44" s="12">
        <v>18003940966</v>
      </c>
      <c r="H44" s="14" t="s">
        <v>342</v>
      </c>
      <c r="I44" s="6" t="s">
        <v>827</v>
      </c>
    </row>
    <row r="45" spans="1:9" ht="14.25" customHeight="1" x14ac:dyDescent="0.2">
      <c r="A45" s="17">
        <v>71</v>
      </c>
      <c r="B45" s="15" t="s">
        <v>259</v>
      </c>
      <c r="C45" s="10" t="s">
        <v>343</v>
      </c>
      <c r="D45" s="28" t="s">
        <v>47</v>
      </c>
      <c r="E45" s="19" t="s">
        <v>344</v>
      </c>
      <c r="F45" s="10" t="s">
        <v>345</v>
      </c>
      <c r="G45" s="12">
        <v>13933389566</v>
      </c>
      <c r="H45" s="14" t="s">
        <v>346</v>
      </c>
      <c r="I45" s="6" t="s">
        <v>827</v>
      </c>
    </row>
    <row r="46" spans="1:9" ht="14.25" customHeight="1" x14ac:dyDescent="0.2">
      <c r="A46" s="17">
        <v>80</v>
      </c>
      <c r="B46" s="15" t="s">
        <v>172</v>
      </c>
      <c r="C46" s="10" t="s">
        <v>347</v>
      </c>
      <c r="D46" s="11" t="s">
        <v>48</v>
      </c>
      <c r="E46" s="3" t="s">
        <v>348</v>
      </c>
      <c r="F46" s="10" t="s">
        <v>349</v>
      </c>
      <c r="G46" s="12"/>
      <c r="H46" s="16" t="s">
        <v>1021</v>
      </c>
      <c r="I46" s="6" t="s">
        <v>827</v>
      </c>
    </row>
    <row r="47" spans="1:9" ht="14.25" customHeight="1" x14ac:dyDescent="0.2">
      <c r="A47" s="17">
        <v>84</v>
      </c>
      <c r="B47" s="15" t="s">
        <v>187</v>
      </c>
      <c r="C47" s="10"/>
      <c r="D47" s="11" t="s">
        <v>679</v>
      </c>
      <c r="E47" s="19" t="s">
        <v>351</v>
      </c>
      <c r="F47" s="10" t="s">
        <v>352</v>
      </c>
      <c r="G47" s="12"/>
      <c r="H47" s="14" t="s">
        <v>353</v>
      </c>
      <c r="I47" s="6" t="s">
        <v>827</v>
      </c>
    </row>
    <row r="48" spans="1:9" ht="14.25" customHeight="1" x14ac:dyDescent="0.2">
      <c r="A48" s="17">
        <v>85</v>
      </c>
      <c r="B48" s="15" t="s">
        <v>310</v>
      </c>
      <c r="C48" s="10" t="s">
        <v>311</v>
      </c>
      <c r="D48" s="11" t="s">
        <v>49</v>
      </c>
      <c r="E48" s="3" t="s">
        <v>354</v>
      </c>
      <c r="F48" s="10" t="s">
        <v>355</v>
      </c>
      <c r="G48" s="12">
        <v>13335285276</v>
      </c>
      <c r="H48" s="14" t="s">
        <v>356</v>
      </c>
      <c r="I48" s="6" t="s">
        <v>827</v>
      </c>
    </row>
    <row r="49" spans="1:9" ht="14.25" customHeight="1" x14ac:dyDescent="0.2">
      <c r="A49" s="17">
        <v>88</v>
      </c>
      <c r="B49" s="15" t="s">
        <v>172</v>
      </c>
      <c r="C49" s="10" t="s">
        <v>357</v>
      </c>
      <c r="D49" s="11" t="s">
        <v>50</v>
      </c>
      <c r="E49" s="3" t="s">
        <v>358</v>
      </c>
      <c r="F49" s="10" t="s">
        <v>359</v>
      </c>
      <c r="G49" s="12">
        <v>18639532888</v>
      </c>
      <c r="H49" s="14" t="s">
        <v>360</v>
      </c>
      <c r="I49" s="6" t="s">
        <v>827</v>
      </c>
    </row>
    <row r="50" spans="1:9" ht="14.25" customHeight="1" x14ac:dyDescent="0.2">
      <c r="A50" s="17">
        <v>77</v>
      </c>
      <c r="B50" s="15" t="s">
        <v>172</v>
      </c>
      <c r="C50" s="10" t="s">
        <v>335</v>
      </c>
      <c r="D50" s="11" t="s">
        <v>51</v>
      </c>
      <c r="E50" s="3" t="s">
        <v>361</v>
      </c>
      <c r="F50" s="10" t="s">
        <v>362</v>
      </c>
      <c r="G50" s="12">
        <v>13323852640</v>
      </c>
      <c r="H50" s="16" t="s">
        <v>678</v>
      </c>
      <c r="I50" s="6" t="s">
        <v>827</v>
      </c>
    </row>
    <row r="51" spans="1:9" ht="14.25" customHeight="1" x14ac:dyDescent="0.2">
      <c r="A51" s="17">
        <v>86</v>
      </c>
      <c r="B51" s="15" t="s">
        <v>172</v>
      </c>
      <c r="C51" s="10" t="s">
        <v>363</v>
      </c>
      <c r="D51" s="11" t="s">
        <v>52</v>
      </c>
      <c r="E51" s="3" t="s">
        <v>364</v>
      </c>
      <c r="F51" s="10" t="s">
        <v>365</v>
      </c>
      <c r="G51" s="12" t="s">
        <v>366</v>
      </c>
      <c r="H51" s="14" t="s">
        <v>367</v>
      </c>
      <c r="I51" s="6" t="s">
        <v>827</v>
      </c>
    </row>
    <row r="52" spans="1:9" ht="14.25" customHeight="1" x14ac:dyDescent="0.2">
      <c r="A52" s="17">
        <v>99</v>
      </c>
      <c r="B52" s="15" t="s">
        <v>172</v>
      </c>
      <c r="C52" s="10" t="s">
        <v>212</v>
      </c>
      <c r="D52" s="11" t="s">
        <v>53</v>
      </c>
      <c r="E52" s="3" t="s">
        <v>368</v>
      </c>
      <c r="F52" s="10" t="s">
        <v>369</v>
      </c>
      <c r="G52" s="12">
        <v>15993533300</v>
      </c>
      <c r="H52" s="14" t="s">
        <v>216</v>
      </c>
      <c r="I52" s="6" t="s">
        <v>827</v>
      </c>
    </row>
    <row r="53" spans="1:9" ht="14.25" customHeight="1" x14ac:dyDescent="0.2">
      <c r="A53" s="17">
        <v>93</v>
      </c>
      <c r="B53" s="15" t="s">
        <v>172</v>
      </c>
      <c r="C53" s="10" t="s">
        <v>274</v>
      </c>
      <c r="D53" s="11" t="s">
        <v>54</v>
      </c>
      <c r="E53" s="3" t="s">
        <v>370</v>
      </c>
      <c r="F53" s="10" t="s">
        <v>371</v>
      </c>
      <c r="G53" s="12">
        <v>18339487965</v>
      </c>
      <c r="H53" s="14" t="s">
        <v>372</v>
      </c>
      <c r="I53" s="6" t="s">
        <v>827</v>
      </c>
    </row>
    <row r="54" spans="1:9" ht="14.25" customHeight="1" x14ac:dyDescent="0.2">
      <c r="A54" s="17">
        <v>89</v>
      </c>
      <c r="B54" s="15" t="s">
        <v>172</v>
      </c>
      <c r="C54" s="10" t="s">
        <v>357</v>
      </c>
      <c r="D54" s="11" t="s">
        <v>55</v>
      </c>
      <c r="E54" s="3" t="s">
        <v>373</v>
      </c>
      <c r="F54" s="10" t="s">
        <v>374</v>
      </c>
      <c r="G54" s="12" t="s">
        <v>375</v>
      </c>
      <c r="H54" s="16" t="s">
        <v>376</v>
      </c>
      <c r="I54" s="6" t="s">
        <v>827</v>
      </c>
    </row>
    <row r="55" spans="1:9" ht="14.25" customHeight="1" x14ac:dyDescent="0.2">
      <c r="A55" s="17">
        <v>94</v>
      </c>
      <c r="B55" s="15" t="s">
        <v>310</v>
      </c>
      <c r="C55" s="10" t="s">
        <v>377</v>
      </c>
      <c r="D55" s="11" t="s">
        <v>680</v>
      </c>
      <c r="E55" s="19" t="s">
        <v>378</v>
      </c>
      <c r="F55" s="10" t="s">
        <v>231</v>
      </c>
      <c r="G55" s="12"/>
      <c r="H55" s="16" t="s">
        <v>681</v>
      </c>
      <c r="I55" s="6" t="s">
        <v>827</v>
      </c>
    </row>
    <row r="56" spans="1:9" ht="14.25" customHeight="1" x14ac:dyDescent="0.2">
      <c r="A56" s="17">
        <v>90</v>
      </c>
      <c r="B56" s="15" t="s">
        <v>172</v>
      </c>
      <c r="C56" s="10" t="s">
        <v>212</v>
      </c>
      <c r="D56" s="11" t="s">
        <v>56</v>
      </c>
      <c r="E56" s="3" t="s">
        <v>379</v>
      </c>
      <c r="F56" s="10" t="s">
        <v>380</v>
      </c>
      <c r="G56" s="12">
        <v>18637550199</v>
      </c>
      <c r="H56" s="16" t="s">
        <v>1018</v>
      </c>
      <c r="I56" s="6" t="s">
        <v>827</v>
      </c>
    </row>
    <row r="57" spans="1:9" ht="14.25" customHeight="1" x14ac:dyDescent="0.2">
      <c r="A57" s="17">
        <v>92</v>
      </c>
      <c r="B57" s="15" t="s">
        <v>172</v>
      </c>
      <c r="C57" s="10" t="s">
        <v>357</v>
      </c>
      <c r="D57" s="11" t="s">
        <v>57</v>
      </c>
      <c r="E57" s="3" t="s">
        <v>382</v>
      </c>
      <c r="F57" s="10" t="s">
        <v>383</v>
      </c>
      <c r="G57" s="12" t="s">
        <v>384</v>
      </c>
      <c r="H57" s="14" t="s">
        <v>385</v>
      </c>
      <c r="I57" s="6" t="s">
        <v>827</v>
      </c>
    </row>
    <row r="58" spans="1:9" ht="14.25" customHeight="1" x14ac:dyDescent="0.2">
      <c r="A58" s="17">
        <v>91</v>
      </c>
      <c r="B58" s="15" t="s">
        <v>172</v>
      </c>
      <c r="C58" s="10" t="s">
        <v>212</v>
      </c>
      <c r="D58" s="11" t="s">
        <v>58</v>
      </c>
      <c r="E58" s="3" t="s">
        <v>386</v>
      </c>
      <c r="F58" s="10" t="s">
        <v>387</v>
      </c>
      <c r="G58" s="12" t="s">
        <v>388</v>
      </c>
      <c r="H58" s="14" t="s">
        <v>389</v>
      </c>
      <c r="I58" s="6" t="s">
        <v>827</v>
      </c>
    </row>
    <row r="59" spans="1:9" ht="14.25" customHeight="1" x14ac:dyDescent="0.2">
      <c r="A59" s="17">
        <v>95</v>
      </c>
      <c r="B59" s="15" t="s">
        <v>187</v>
      </c>
      <c r="C59" s="10" t="s">
        <v>390</v>
      </c>
      <c r="D59" s="11" t="s">
        <v>59</v>
      </c>
      <c r="E59" s="3" t="s">
        <v>391</v>
      </c>
      <c r="F59" s="10" t="s">
        <v>352</v>
      </c>
      <c r="G59" s="12" t="s">
        <v>392</v>
      </c>
      <c r="H59" s="14" t="s">
        <v>353</v>
      </c>
      <c r="I59" s="6" t="s">
        <v>827</v>
      </c>
    </row>
    <row r="60" spans="1:9" ht="14.25" customHeight="1" x14ac:dyDescent="0.2">
      <c r="A60" s="17">
        <v>97</v>
      </c>
      <c r="B60" s="15" t="s">
        <v>172</v>
      </c>
      <c r="C60" s="10" t="s">
        <v>212</v>
      </c>
      <c r="D60" s="11" t="s">
        <v>60</v>
      </c>
      <c r="E60" s="3" t="s">
        <v>393</v>
      </c>
      <c r="F60" s="10" t="s">
        <v>380</v>
      </c>
      <c r="G60" s="12" t="s">
        <v>394</v>
      </c>
      <c r="H60" s="14" t="s">
        <v>381</v>
      </c>
      <c r="I60" s="6" t="s">
        <v>827</v>
      </c>
    </row>
    <row r="61" spans="1:9" ht="14.25" customHeight="1" x14ac:dyDescent="0.2">
      <c r="A61" s="17">
        <v>98</v>
      </c>
      <c r="B61" s="15" t="s">
        <v>172</v>
      </c>
      <c r="C61" s="10" t="s">
        <v>395</v>
      </c>
      <c r="D61" s="11" t="s">
        <v>61</v>
      </c>
      <c r="E61" s="3" t="s">
        <v>396</v>
      </c>
      <c r="F61" s="10" t="s">
        <v>397</v>
      </c>
      <c r="G61" s="12" t="s">
        <v>398</v>
      </c>
      <c r="H61" s="16" t="s">
        <v>399</v>
      </c>
      <c r="I61" s="6" t="s">
        <v>827</v>
      </c>
    </row>
    <row r="62" spans="1:9" ht="14.25" customHeight="1" x14ac:dyDescent="0.2">
      <c r="A62" s="17">
        <v>101</v>
      </c>
      <c r="B62" s="15" t="s">
        <v>172</v>
      </c>
      <c r="C62" s="10" t="s">
        <v>212</v>
      </c>
      <c r="D62" s="11" t="s">
        <v>62</v>
      </c>
      <c r="E62" s="3" t="s">
        <v>400</v>
      </c>
      <c r="F62" s="10" t="s">
        <v>359</v>
      </c>
      <c r="G62" s="12">
        <v>15036878006</v>
      </c>
      <c r="H62" s="16" t="s">
        <v>401</v>
      </c>
      <c r="I62" s="6" t="s">
        <v>827</v>
      </c>
    </row>
    <row r="63" spans="1:9" ht="14.25" customHeight="1" x14ac:dyDescent="0.2">
      <c r="A63" s="17">
        <v>100</v>
      </c>
      <c r="B63" s="15" t="s">
        <v>172</v>
      </c>
      <c r="C63" s="10" t="s">
        <v>217</v>
      </c>
      <c r="D63" s="11" t="s">
        <v>63</v>
      </c>
      <c r="E63" s="3" t="s">
        <v>402</v>
      </c>
      <c r="F63" s="10" t="s">
        <v>403</v>
      </c>
      <c r="G63" s="12" t="s">
        <v>404</v>
      </c>
      <c r="H63" s="14" t="s">
        <v>405</v>
      </c>
      <c r="I63" s="6" t="s">
        <v>827</v>
      </c>
    </row>
    <row r="64" spans="1:9" ht="14.25" customHeight="1" x14ac:dyDescent="0.2">
      <c r="A64" s="17">
        <v>102</v>
      </c>
      <c r="B64" s="15" t="s">
        <v>172</v>
      </c>
      <c r="C64" s="10" t="s">
        <v>217</v>
      </c>
      <c r="D64" s="11" t="s">
        <v>64</v>
      </c>
      <c r="E64" s="3" t="s">
        <v>406</v>
      </c>
      <c r="F64" s="10" t="s">
        <v>407</v>
      </c>
      <c r="G64" s="12" t="s">
        <v>408</v>
      </c>
      <c r="H64" s="16" t="s">
        <v>1019</v>
      </c>
      <c r="I64" s="6" t="s">
        <v>827</v>
      </c>
    </row>
    <row r="65" spans="1:9" ht="14.25" customHeight="1" x14ac:dyDescent="0.2">
      <c r="A65" s="17">
        <v>104</v>
      </c>
      <c r="B65" s="15" t="s">
        <v>172</v>
      </c>
      <c r="C65" s="10" t="s">
        <v>212</v>
      </c>
      <c r="D65" s="11" t="s">
        <v>65</v>
      </c>
      <c r="E65" s="3" t="s">
        <v>410</v>
      </c>
      <c r="F65" s="10" t="s">
        <v>411</v>
      </c>
      <c r="G65" s="12" t="s">
        <v>412</v>
      </c>
      <c r="H65" s="16" t="s">
        <v>413</v>
      </c>
      <c r="I65" s="6" t="s">
        <v>827</v>
      </c>
    </row>
    <row r="66" spans="1:9" ht="14.25" customHeight="1" x14ac:dyDescent="0.2">
      <c r="A66" s="17">
        <v>103</v>
      </c>
      <c r="B66" s="15" t="s">
        <v>414</v>
      </c>
      <c r="C66" s="10" t="s">
        <v>415</v>
      </c>
      <c r="D66" s="11" t="s">
        <v>66</v>
      </c>
      <c r="E66" s="19" t="s">
        <v>416</v>
      </c>
      <c r="F66" s="10" t="s">
        <v>417</v>
      </c>
      <c r="G66" s="12" t="s">
        <v>418</v>
      </c>
      <c r="H66" s="16" t="s">
        <v>419</v>
      </c>
      <c r="I66" s="6" t="s">
        <v>827</v>
      </c>
    </row>
    <row r="67" spans="1:9" ht="14.25" customHeight="1" x14ac:dyDescent="0.2">
      <c r="A67" s="17">
        <v>107</v>
      </c>
      <c r="B67" s="15" t="s">
        <v>172</v>
      </c>
      <c r="C67" s="10" t="s">
        <v>420</v>
      </c>
      <c r="D67" s="11" t="s">
        <v>67</v>
      </c>
      <c r="E67" s="3" t="s">
        <v>421</v>
      </c>
      <c r="F67" s="10" t="s">
        <v>422</v>
      </c>
      <c r="G67" s="12" t="s">
        <v>423</v>
      </c>
      <c r="H67" s="16" t="s">
        <v>424</v>
      </c>
      <c r="I67" s="6" t="s">
        <v>827</v>
      </c>
    </row>
    <row r="68" spans="1:9" ht="14.25" customHeight="1" x14ac:dyDescent="0.2">
      <c r="A68" s="17">
        <v>108</v>
      </c>
      <c r="B68" s="15" t="s">
        <v>172</v>
      </c>
      <c r="C68" s="10" t="s">
        <v>347</v>
      </c>
      <c r="D68" s="11" t="s">
        <v>68</v>
      </c>
      <c r="E68" s="3" t="s">
        <v>425</v>
      </c>
      <c r="F68" s="10" t="s">
        <v>426</v>
      </c>
      <c r="G68" s="12" t="s">
        <v>427</v>
      </c>
      <c r="H68" s="14" t="s">
        <v>428</v>
      </c>
      <c r="I68" s="6" t="s">
        <v>827</v>
      </c>
    </row>
    <row r="69" spans="1:9" ht="14.25" customHeight="1" x14ac:dyDescent="0.2">
      <c r="A69" s="17">
        <v>106</v>
      </c>
      <c r="B69" s="15" t="s">
        <v>315</v>
      </c>
      <c r="C69" s="10" t="s">
        <v>429</v>
      </c>
      <c r="D69" s="11" t="s">
        <v>682</v>
      </c>
      <c r="E69" s="19" t="s">
        <v>430</v>
      </c>
      <c r="F69" s="10" t="s">
        <v>431</v>
      </c>
      <c r="G69" s="12" t="s">
        <v>432</v>
      </c>
      <c r="H69" s="16" t="s">
        <v>433</v>
      </c>
      <c r="I69" s="6" t="s">
        <v>827</v>
      </c>
    </row>
    <row r="70" spans="1:9" ht="14.25" customHeight="1" x14ac:dyDescent="0.2">
      <c r="A70" s="17">
        <v>110</v>
      </c>
      <c r="B70" s="15" t="s">
        <v>310</v>
      </c>
      <c r="C70" s="10" t="s">
        <v>434</v>
      </c>
      <c r="D70" s="11" t="s">
        <v>69</v>
      </c>
      <c r="E70" s="3" t="s">
        <v>435</v>
      </c>
      <c r="F70" s="10" t="s">
        <v>436</v>
      </c>
      <c r="G70" s="12" t="s">
        <v>437</v>
      </c>
      <c r="H70" s="14" t="s">
        <v>438</v>
      </c>
      <c r="I70" s="6" t="s">
        <v>827</v>
      </c>
    </row>
    <row r="71" spans="1:9" ht="14.25" customHeight="1" x14ac:dyDescent="0.2">
      <c r="A71" s="17">
        <v>105</v>
      </c>
      <c r="B71" s="15" t="s">
        <v>298</v>
      </c>
      <c r="C71" s="10" t="s">
        <v>439</v>
      </c>
      <c r="D71" s="11" t="s">
        <v>70</v>
      </c>
      <c r="E71" s="3" t="s">
        <v>440</v>
      </c>
      <c r="F71" s="10" t="s">
        <v>441</v>
      </c>
      <c r="G71" s="12" t="s">
        <v>442</v>
      </c>
      <c r="H71" s="16" t="s">
        <v>683</v>
      </c>
      <c r="I71" s="6" t="s">
        <v>827</v>
      </c>
    </row>
    <row r="72" spans="1:9" ht="14.25" customHeight="1" x14ac:dyDescent="0.2">
      <c r="A72" s="17">
        <v>117</v>
      </c>
      <c r="B72" s="15" t="s">
        <v>298</v>
      </c>
      <c r="C72" s="10" t="s">
        <v>443</v>
      </c>
      <c r="D72" s="11" t="s">
        <v>684</v>
      </c>
      <c r="E72" s="19" t="s">
        <v>444</v>
      </c>
      <c r="F72" s="10" t="s">
        <v>445</v>
      </c>
      <c r="G72" s="12" t="s">
        <v>446</v>
      </c>
      <c r="H72" s="16" t="s">
        <v>837</v>
      </c>
      <c r="I72" s="6" t="s">
        <v>827</v>
      </c>
    </row>
    <row r="73" spans="1:9" ht="14.25" customHeight="1" x14ac:dyDescent="0.2">
      <c r="A73" s="17">
        <v>109</v>
      </c>
      <c r="B73" s="15" t="s">
        <v>182</v>
      </c>
      <c r="C73" s="10" t="s">
        <v>447</v>
      </c>
      <c r="D73" s="11" t="s">
        <v>71</v>
      </c>
      <c r="E73" s="3" t="s">
        <v>448</v>
      </c>
      <c r="F73" s="10" t="s">
        <v>449</v>
      </c>
      <c r="G73" s="12" t="s">
        <v>450</v>
      </c>
      <c r="H73" s="14" t="s">
        <v>451</v>
      </c>
      <c r="I73" s="6" t="s">
        <v>827</v>
      </c>
    </row>
    <row r="74" spans="1:9" ht="14.25" customHeight="1" x14ac:dyDescent="0.2">
      <c r="A74" s="17">
        <v>113</v>
      </c>
      <c r="B74" s="15" t="s">
        <v>172</v>
      </c>
      <c r="C74" s="10" t="s">
        <v>254</v>
      </c>
      <c r="D74" s="11" t="s">
        <v>72</v>
      </c>
      <c r="E74" s="3" t="s">
        <v>452</v>
      </c>
      <c r="F74" s="10" t="s">
        <v>453</v>
      </c>
      <c r="G74" s="12" t="s">
        <v>454</v>
      </c>
      <c r="H74" s="16" t="s">
        <v>455</v>
      </c>
      <c r="I74" s="6" t="s">
        <v>827</v>
      </c>
    </row>
    <row r="75" spans="1:9" ht="14.25" customHeight="1" x14ac:dyDescent="0.2">
      <c r="A75" s="17">
        <v>114</v>
      </c>
      <c r="B75" s="15" t="s">
        <v>298</v>
      </c>
      <c r="C75" s="10" t="s">
        <v>456</v>
      </c>
      <c r="D75" s="11" t="s">
        <v>73</v>
      </c>
      <c r="E75" s="3" t="s">
        <v>457</v>
      </c>
      <c r="F75" s="10" t="s">
        <v>458</v>
      </c>
      <c r="G75" s="12" t="s">
        <v>459</v>
      </c>
      <c r="H75" s="16" t="s">
        <v>685</v>
      </c>
      <c r="I75" s="6" t="s">
        <v>827</v>
      </c>
    </row>
    <row r="76" spans="1:9" ht="14.25" customHeight="1" x14ac:dyDescent="0.2">
      <c r="A76" s="17">
        <v>112</v>
      </c>
      <c r="B76" s="15" t="s">
        <v>172</v>
      </c>
      <c r="C76" s="10" t="s">
        <v>212</v>
      </c>
      <c r="D76" s="11" t="s">
        <v>74</v>
      </c>
      <c r="E76" s="3" t="s">
        <v>461</v>
      </c>
      <c r="F76" s="10" t="s">
        <v>380</v>
      </c>
      <c r="G76" s="12" t="s">
        <v>394</v>
      </c>
      <c r="H76" s="14" t="s">
        <v>381</v>
      </c>
      <c r="I76" s="6" t="s">
        <v>827</v>
      </c>
    </row>
    <row r="77" spans="1:9" ht="14.25" customHeight="1" x14ac:dyDescent="0.2">
      <c r="A77" s="17">
        <v>111</v>
      </c>
      <c r="B77" s="15" t="s">
        <v>172</v>
      </c>
      <c r="C77" s="10" t="s">
        <v>212</v>
      </c>
      <c r="D77" s="11" t="s">
        <v>75</v>
      </c>
      <c r="E77" s="3" t="s">
        <v>462</v>
      </c>
      <c r="F77" s="10" t="s">
        <v>380</v>
      </c>
      <c r="G77" s="12" t="s">
        <v>394</v>
      </c>
      <c r="H77" s="14" t="s">
        <v>381</v>
      </c>
      <c r="I77" s="6" t="s">
        <v>827</v>
      </c>
    </row>
    <row r="78" spans="1:9" ht="14.25" customHeight="1" x14ac:dyDescent="0.2">
      <c r="A78" s="17">
        <v>115</v>
      </c>
      <c r="B78" s="15" t="s">
        <v>172</v>
      </c>
      <c r="C78" s="10" t="s">
        <v>420</v>
      </c>
      <c r="D78" s="11" t="s">
        <v>76</v>
      </c>
      <c r="E78" s="3" t="s">
        <v>463</v>
      </c>
      <c r="F78" s="10" t="s">
        <v>464</v>
      </c>
      <c r="G78" s="12" t="s">
        <v>465</v>
      </c>
      <c r="H78" s="14" t="s">
        <v>466</v>
      </c>
      <c r="I78" s="6" t="s">
        <v>827</v>
      </c>
    </row>
    <row r="79" spans="1:9" ht="14.25" customHeight="1" x14ac:dyDescent="0.2">
      <c r="A79" s="17">
        <v>116</v>
      </c>
      <c r="B79" s="15" t="s">
        <v>172</v>
      </c>
      <c r="C79" s="10" t="s">
        <v>363</v>
      </c>
      <c r="D79" s="11" t="s">
        <v>77</v>
      </c>
      <c r="E79" s="3" t="s">
        <v>467</v>
      </c>
      <c r="F79" s="10" t="s">
        <v>686</v>
      </c>
      <c r="G79" s="12" t="s">
        <v>468</v>
      </c>
      <c r="H79" s="14" t="s">
        <v>469</v>
      </c>
      <c r="I79" s="6" t="s">
        <v>827</v>
      </c>
    </row>
    <row r="80" spans="1:9" ht="14.25" customHeight="1" x14ac:dyDescent="0.2">
      <c r="A80" s="17"/>
      <c r="B80" s="15"/>
      <c r="C80" s="10"/>
      <c r="D80" s="11" t="s">
        <v>78</v>
      </c>
      <c r="E80" s="3" t="s">
        <v>470</v>
      </c>
      <c r="F80" s="10" t="s">
        <v>471</v>
      </c>
      <c r="G80" s="10">
        <v>0</v>
      </c>
      <c r="H80" s="14" t="s">
        <v>376</v>
      </c>
      <c r="I80" s="6" t="s">
        <v>827</v>
      </c>
    </row>
    <row r="81" spans="1:9" ht="14.25" customHeight="1" x14ac:dyDescent="0.2">
      <c r="A81" s="17">
        <v>126</v>
      </c>
      <c r="B81" s="15"/>
      <c r="C81" s="10" t="s">
        <v>472</v>
      </c>
      <c r="D81" s="11" t="s">
        <v>79</v>
      </c>
      <c r="E81" s="3" t="s">
        <v>473</v>
      </c>
      <c r="F81" s="10" t="s">
        <v>474</v>
      </c>
      <c r="G81" s="12"/>
      <c r="H81" s="14" t="s">
        <v>475</v>
      </c>
      <c r="I81" s="6" t="s">
        <v>827</v>
      </c>
    </row>
    <row r="82" spans="1:9" ht="14.25" customHeight="1" x14ac:dyDescent="0.2">
      <c r="A82" s="17">
        <v>123</v>
      </c>
      <c r="B82" s="15"/>
      <c r="C82" s="10" t="s">
        <v>476</v>
      </c>
      <c r="D82" s="11" t="s">
        <v>80</v>
      </c>
      <c r="E82" s="3" t="s">
        <v>477</v>
      </c>
      <c r="F82" s="10" t="s">
        <v>687</v>
      </c>
      <c r="G82" s="12"/>
      <c r="H82" s="16" t="s">
        <v>688</v>
      </c>
      <c r="I82" s="6" t="s">
        <v>827</v>
      </c>
    </row>
    <row r="83" spans="1:9" ht="14.25" customHeight="1" x14ac:dyDescent="0.2">
      <c r="A83" s="17">
        <v>124</v>
      </c>
      <c r="B83" s="15"/>
      <c r="C83" s="10"/>
      <c r="D83" s="11" t="s">
        <v>81</v>
      </c>
      <c r="E83" s="3" t="s">
        <v>479</v>
      </c>
      <c r="F83" s="10" t="s">
        <v>480</v>
      </c>
      <c r="G83" s="12"/>
      <c r="H83" s="14" t="s">
        <v>481</v>
      </c>
      <c r="I83" s="6" t="s">
        <v>827</v>
      </c>
    </row>
    <row r="84" spans="1:9" ht="14.25" customHeight="1" x14ac:dyDescent="0.2">
      <c r="A84" s="17">
        <v>122</v>
      </c>
      <c r="B84" s="15"/>
      <c r="C84" s="10" t="s">
        <v>482</v>
      </c>
      <c r="D84" s="11" t="s">
        <v>82</v>
      </c>
      <c r="E84" s="3" t="s">
        <v>483</v>
      </c>
      <c r="F84" s="10">
        <v>0</v>
      </c>
      <c r="G84" s="10">
        <v>0</v>
      </c>
      <c r="H84" s="16" t="s">
        <v>689</v>
      </c>
      <c r="I84" s="6" t="s">
        <v>827</v>
      </c>
    </row>
    <row r="85" spans="1:9" ht="14.25" customHeight="1" x14ac:dyDescent="0.2">
      <c r="A85" s="24"/>
      <c r="B85" s="15" t="s">
        <v>172</v>
      </c>
      <c r="C85" s="10" t="s">
        <v>217</v>
      </c>
      <c r="D85" s="4" t="s">
        <v>83</v>
      </c>
      <c r="E85" s="3" t="s">
        <v>484</v>
      </c>
      <c r="F85" s="3" t="s">
        <v>485</v>
      </c>
      <c r="G85" s="26"/>
      <c r="H85" s="16" t="s">
        <v>486</v>
      </c>
      <c r="I85" s="6" t="s">
        <v>827</v>
      </c>
    </row>
    <row r="86" spans="1:9" ht="14.25" customHeight="1" x14ac:dyDescent="0.2">
      <c r="A86" s="17">
        <v>128</v>
      </c>
      <c r="B86" s="15"/>
      <c r="C86" s="10" t="s">
        <v>487</v>
      </c>
      <c r="D86" s="11" t="s">
        <v>84</v>
      </c>
      <c r="E86" s="3" t="s">
        <v>488</v>
      </c>
      <c r="F86" s="10" t="s">
        <v>489</v>
      </c>
      <c r="G86" s="12"/>
      <c r="H86" s="14" t="s">
        <v>490</v>
      </c>
      <c r="I86" s="6" t="s">
        <v>827</v>
      </c>
    </row>
    <row r="87" spans="1:9" ht="14.25" customHeight="1" x14ac:dyDescent="0.2">
      <c r="A87" s="17">
        <v>129</v>
      </c>
      <c r="B87" s="15"/>
      <c r="C87" s="10"/>
      <c r="D87" s="11" t="s">
        <v>85</v>
      </c>
      <c r="E87" s="3" t="s">
        <v>491</v>
      </c>
      <c r="F87" s="10" t="s">
        <v>492</v>
      </c>
      <c r="G87" s="12"/>
      <c r="H87" s="14" t="s">
        <v>493</v>
      </c>
      <c r="I87" s="6" t="s">
        <v>827</v>
      </c>
    </row>
    <row r="88" spans="1:9" ht="14.25" customHeight="1" x14ac:dyDescent="0.2">
      <c r="A88" s="17">
        <v>131</v>
      </c>
      <c r="B88" s="15"/>
      <c r="C88" s="10" t="s">
        <v>494</v>
      </c>
      <c r="D88" s="11" t="s">
        <v>690</v>
      </c>
      <c r="E88" s="19" t="s">
        <v>495</v>
      </c>
      <c r="F88" s="10"/>
      <c r="G88" s="10"/>
      <c r="H88" s="13" t="s">
        <v>691</v>
      </c>
      <c r="I88" s="6" t="s">
        <v>827</v>
      </c>
    </row>
    <row r="89" spans="1:9" ht="14.25" customHeight="1" x14ac:dyDescent="0.2">
      <c r="A89" s="17">
        <v>132</v>
      </c>
      <c r="B89" s="15"/>
      <c r="C89" s="10"/>
      <c r="D89" s="11" t="s">
        <v>86</v>
      </c>
      <c r="E89" s="3" t="s">
        <v>496</v>
      </c>
      <c r="F89" s="10" t="s">
        <v>497</v>
      </c>
      <c r="G89" s="12"/>
      <c r="H89" s="14" t="s">
        <v>498</v>
      </c>
      <c r="I89" s="6" t="s">
        <v>827</v>
      </c>
    </row>
    <row r="90" spans="1:9" ht="14.25" customHeight="1" x14ac:dyDescent="0.2">
      <c r="A90" s="17">
        <v>133</v>
      </c>
      <c r="B90" s="15"/>
      <c r="C90" s="10"/>
      <c r="D90" s="11" t="s">
        <v>87</v>
      </c>
      <c r="E90" s="3" t="s">
        <v>499</v>
      </c>
      <c r="F90" s="10" t="s">
        <v>500</v>
      </c>
      <c r="G90" s="12"/>
      <c r="H90" s="14" t="s">
        <v>501</v>
      </c>
      <c r="I90" s="6" t="s">
        <v>827</v>
      </c>
    </row>
    <row r="91" spans="1:9" ht="14.25" customHeight="1" x14ac:dyDescent="0.2">
      <c r="A91" s="17"/>
      <c r="B91" s="15"/>
      <c r="C91" s="10"/>
      <c r="D91" s="11" t="s">
        <v>88</v>
      </c>
      <c r="E91" s="3" t="s">
        <v>502</v>
      </c>
      <c r="F91" s="10" t="s">
        <v>503</v>
      </c>
      <c r="G91" s="12"/>
      <c r="H91" s="14" t="s">
        <v>504</v>
      </c>
      <c r="I91" s="6" t="s">
        <v>827</v>
      </c>
    </row>
    <row r="92" spans="1:9" x14ac:dyDescent="0.2">
      <c r="A92" s="29">
        <v>135</v>
      </c>
      <c r="B92" s="30"/>
      <c r="C92" s="10"/>
      <c r="D92" s="11" t="s">
        <v>89</v>
      </c>
      <c r="E92" s="3" t="s">
        <v>505</v>
      </c>
      <c r="F92" s="10" t="s">
        <v>506</v>
      </c>
      <c r="G92" s="10">
        <v>13783535290</v>
      </c>
      <c r="H92" s="31" t="s">
        <v>507</v>
      </c>
      <c r="I92" s="6" t="s">
        <v>827</v>
      </c>
    </row>
    <row r="93" spans="1:9" ht="14.25" customHeight="1" x14ac:dyDescent="0.2">
      <c r="A93" s="17">
        <v>136</v>
      </c>
      <c r="B93" s="15" t="s">
        <v>225</v>
      </c>
      <c r="C93" s="10" t="s">
        <v>508</v>
      </c>
      <c r="D93" s="11" t="s">
        <v>90</v>
      </c>
      <c r="E93" s="3" t="s">
        <v>508</v>
      </c>
      <c r="F93" s="10" t="s">
        <v>509</v>
      </c>
      <c r="G93" s="12"/>
      <c r="H93" s="14" t="s">
        <v>510</v>
      </c>
      <c r="I93" s="6" t="s">
        <v>827</v>
      </c>
    </row>
    <row r="94" spans="1:9" ht="14.25" customHeight="1" x14ac:dyDescent="0.2">
      <c r="A94" s="17"/>
      <c r="B94" s="15"/>
      <c r="C94" s="10" t="s">
        <v>511</v>
      </c>
      <c r="D94" s="11" t="s">
        <v>91</v>
      </c>
      <c r="E94" s="3" t="s">
        <v>512</v>
      </c>
      <c r="F94" s="10" t="s">
        <v>513</v>
      </c>
      <c r="G94" s="12"/>
      <c r="H94" s="32" t="s">
        <v>514</v>
      </c>
      <c r="I94" s="6" t="s">
        <v>827</v>
      </c>
    </row>
    <row r="95" spans="1:9" ht="14.25" customHeight="1" x14ac:dyDescent="0.2">
      <c r="A95" s="17"/>
      <c r="B95" s="15"/>
      <c r="C95" s="10"/>
      <c r="D95" s="11" t="s">
        <v>92</v>
      </c>
      <c r="E95" s="3" t="s">
        <v>515</v>
      </c>
      <c r="F95" s="10" t="s">
        <v>516</v>
      </c>
      <c r="G95" s="12"/>
      <c r="H95" s="16" t="s">
        <v>517</v>
      </c>
      <c r="I95" s="6" t="s">
        <v>827</v>
      </c>
    </row>
    <row r="96" spans="1:9" ht="14.25" customHeight="1" x14ac:dyDescent="0.2">
      <c r="A96" s="17"/>
      <c r="B96" s="15" t="s">
        <v>518</v>
      </c>
      <c r="C96" s="22"/>
      <c r="D96" s="11" t="s">
        <v>93</v>
      </c>
      <c r="E96" s="19" t="s">
        <v>519</v>
      </c>
      <c r="F96" s="10" t="s">
        <v>445</v>
      </c>
      <c r="G96" s="12"/>
      <c r="H96" s="14" t="s">
        <v>520</v>
      </c>
      <c r="I96" s="6" t="s">
        <v>827</v>
      </c>
    </row>
    <row r="97" spans="1:9" ht="14.25" customHeight="1" x14ac:dyDescent="0.2">
      <c r="A97" s="17"/>
      <c r="B97" s="15" t="s">
        <v>310</v>
      </c>
      <c r="C97" s="10" t="s">
        <v>311</v>
      </c>
      <c r="D97" s="11" t="s">
        <v>94</v>
      </c>
      <c r="E97" s="19" t="s">
        <v>521</v>
      </c>
      <c r="F97" s="10" t="s">
        <v>355</v>
      </c>
      <c r="G97" s="12">
        <v>13335285276</v>
      </c>
      <c r="H97" s="14" t="s">
        <v>356</v>
      </c>
      <c r="I97" s="6" t="s">
        <v>827</v>
      </c>
    </row>
    <row r="98" spans="1:9" ht="14.25" customHeight="1" x14ac:dyDescent="0.2">
      <c r="A98" s="17"/>
      <c r="B98" s="15"/>
      <c r="C98" s="10"/>
      <c r="D98" s="11" t="s">
        <v>95</v>
      </c>
      <c r="E98" s="3" t="s">
        <v>522</v>
      </c>
      <c r="F98" s="10" t="s">
        <v>523</v>
      </c>
      <c r="G98" s="12"/>
      <c r="H98" s="14" t="s">
        <v>524</v>
      </c>
      <c r="I98" s="6" t="s">
        <v>827</v>
      </c>
    </row>
    <row r="99" spans="1:9" ht="14.25" customHeight="1" x14ac:dyDescent="0.2">
      <c r="A99" s="17"/>
      <c r="B99" s="15"/>
      <c r="C99" s="10" t="s">
        <v>525</v>
      </c>
      <c r="D99" s="11" t="s">
        <v>96</v>
      </c>
      <c r="E99" s="3" t="s">
        <v>526</v>
      </c>
      <c r="F99" s="10" t="s">
        <v>527</v>
      </c>
      <c r="G99" s="12"/>
      <c r="H99" s="14" t="s">
        <v>528</v>
      </c>
      <c r="I99" s="6" t="s">
        <v>827</v>
      </c>
    </row>
    <row r="100" spans="1:9" ht="14.25" customHeight="1" x14ac:dyDescent="0.2">
      <c r="A100" s="17"/>
      <c r="B100" s="15"/>
      <c r="C100" s="10" t="s">
        <v>529</v>
      </c>
      <c r="D100" s="11" t="s">
        <v>97</v>
      </c>
      <c r="E100" s="3" t="s">
        <v>530</v>
      </c>
      <c r="F100" s="10" t="s">
        <v>531</v>
      </c>
      <c r="G100" s="12"/>
      <c r="H100" s="14" t="s">
        <v>532</v>
      </c>
      <c r="I100" s="6" t="s">
        <v>827</v>
      </c>
    </row>
    <row r="101" spans="1:9" ht="14.25" customHeight="1" x14ac:dyDescent="0.2">
      <c r="A101" s="17"/>
      <c r="B101" s="15"/>
      <c r="C101" s="10" t="s">
        <v>533</v>
      </c>
      <c r="D101" s="11" t="s">
        <v>98</v>
      </c>
      <c r="E101" s="3" t="s">
        <v>534</v>
      </c>
      <c r="F101" s="10" t="s">
        <v>535</v>
      </c>
      <c r="G101" s="12"/>
      <c r="H101" s="14" t="s">
        <v>536</v>
      </c>
      <c r="I101" s="6" t="s">
        <v>827</v>
      </c>
    </row>
    <row r="102" spans="1:9" ht="14.25" customHeight="1" x14ac:dyDescent="0.2">
      <c r="A102" s="17"/>
      <c r="B102" s="15"/>
      <c r="C102" s="10" t="s">
        <v>511</v>
      </c>
      <c r="D102" s="11" t="s">
        <v>99</v>
      </c>
      <c r="E102" s="3" t="s">
        <v>537</v>
      </c>
      <c r="F102" s="10" t="s">
        <v>538</v>
      </c>
      <c r="G102" s="12"/>
      <c r="H102" s="14" t="s">
        <v>539</v>
      </c>
      <c r="I102" s="6" t="s">
        <v>827</v>
      </c>
    </row>
    <row r="103" spans="1:9" ht="14.25" customHeight="1" x14ac:dyDescent="0.2">
      <c r="A103" s="17"/>
      <c r="B103" s="15" t="s">
        <v>269</v>
      </c>
      <c r="C103" s="10"/>
      <c r="D103" s="28" t="s">
        <v>100</v>
      </c>
      <c r="E103" s="19" t="s">
        <v>540</v>
      </c>
      <c r="F103" s="10" t="s">
        <v>541</v>
      </c>
      <c r="G103" s="12"/>
      <c r="H103" s="14" t="s">
        <v>542</v>
      </c>
      <c r="I103" s="6" t="s">
        <v>827</v>
      </c>
    </row>
    <row r="104" spans="1:9" ht="14.25" customHeight="1" x14ac:dyDescent="0.2">
      <c r="A104" s="17"/>
      <c r="B104" s="15"/>
      <c r="C104" s="10" t="s">
        <v>269</v>
      </c>
      <c r="D104" s="28" t="s">
        <v>100</v>
      </c>
      <c r="E104" s="19" t="s">
        <v>540</v>
      </c>
      <c r="F104" s="10" t="s">
        <v>272</v>
      </c>
      <c r="G104" s="12">
        <v>18518881680</v>
      </c>
      <c r="H104" s="14" t="s">
        <v>273</v>
      </c>
      <c r="I104" s="6" t="s">
        <v>827</v>
      </c>
    </row>
    <row r="105" spans="1:9" ht="14.25" customHeight="1" x14ac:dyDescent="0.2">
      <c r="A105" s="17"/>
      <c r="B105" s="15" t="s">
        <v>172</v>
      </c>
      <c r="C105" s="10" t="s">
        <v>357</v>
      </c>
      <c r="D105" s="11" t="s">
        <v>101</v>
      </c>
      <c r="E105" s="3" t="s">
        <v>543</v>
      </c>
      <c r="F105" s="10" t="s">
        <v>544</v>
      </c>
      <c r="G105" s="12">
        <v>13673610915</v>
      </c>
      <c r="H105" s="16" t="s">
        <v>1020</v>
      </c>
      <c r="I105" s="6" t="s">
        <v>827</v>
      </c>
    </row>
    <row r="106" spans="1:9" ht="14.25" customHeight="1" x14ac:dyDescent="0.2">
      <c r="A106" s="17"/>
      <c r="B106" s="15"/>
      <c r="C106" s="10"/>
      <c r="D106" s="11" t="s">
        <v>102</v>
      </c>
      <c r="E106" s="3" t="s">
        <v>546</v>
      </c>
      <c r="F106" s="10" t="s">
        <v>547</v>
      </c>
      <c r="G106" s="12"/>
      <c r="H106" s="16" t="s">
        <v>548</v>
      </c>
      <c r="I106" s="6" t="s">
        <v>827</v>
      </c>
    </row>
    <row r="107" spans="1:9" ht="14.25" customHeight="1" x14ac:dyDescent="0.2">
      <c r="A107" s="17"/>
      <c r="B107" s="15" t="s">
        <v>172</v>
      </c>
      <c r="C107" s="10" t="s">
        <v>357</v>
      </c>
      <c r="D107" s="11" t="s">
        <v>103</v>
      </c>
      <c r="E107" s="3" t="s">
        <v>549</v>
      </c>
      <c r="F107" s="10" t="s">
        <v>550</v>
      </c>
      <c r="G107" s="12">
        <v>13323852640</v>
      </c>
      <c r="H107" s="14" t="s">
        <v>551</v>
      </c>
      <c r="I107" s="6" t="s">
        <v>827</v>
      </c>
    </row>
    <row r="108" spans="1:9" ht="14.25" customHeight="1" x14ac:dyDescent="0.2">
      <c r="A108" s="17"/>
      <c r="B108" s="15"/>
      <c r="C108" s="10" t="s">
        <v>552</v>
      </c>
      <c r="D108" s="11" t="s">
        <v>104</v>
      </c>
      <c r="E108" s="3" t="s">
        <v>553</v>
      </c>
      <c r="F108" s="10" t="s">
        <v>554</v>
      </c>
      <c r="G108" s="12">
        <v>13223060136</v>
      </c>
      <c r="H108" s="16" t="s">
        <v>692</v>
      </c>
      <c r="I108" s="6" t="s">
        <v>827</v>
      </c>
    </row>
    <row r="109" spans="1:9" ht="14.25" customHeight="1" x14ac:dyDescent="0.2">
      <c r="A109" s="17"/>
      <c r="B109" s="15"/>
      <c r="C109" s="10" t="s">
        <v>556</v>
      </c>
      <c r="D109" s="11" t="s">
        <v>105</v>
      </c>
      <c r="E109" s="3" t="s">
        <v>557</v>
      </c>
      <c r="F109" s="10" t="s">
        <v>558</v>
      </c>
      <c r="G109" s="12">
        <v>13693909302</v>
      </c>
      <c r="H109" s="16" t="s">
        <v>693</v>
      </c>
      <c r="I109" s="6" t="s">
        <v>827</v>
      </c>
    </row>
    <row r="110" spans="1:9" ht="14.25" customHeight="1" x14ac:dyDescent="0.2">
      <c r="A110" s="17"/>
      <c r="B110" s="15"/>
      <c r="C110" s="10" t="s">
        <v>173</v>
      </c>
      <c r="D110" s="11" t="s">
        <v>106</v>
      </c>
      <c r="E110" s="3" t="s">
        <v>560</v>
      </c>
      <c r="F110" s="10" t="s">
        <v>561</v>
      </c>
      <c r="G110" s="12">
        <v>13526852902</v>
      </c>
      <c r="H110" s="16" t="s">
        <v>562</v>
      </c>
      <c r="I110" s="6" t="s">
        <v>827</v>
      </c>
    </row>
    <row r="111" spans="1:9" ht="14.25" customHeight="1" x14ac:dyDescent="0.2">
      <c r="A111" s="17"/>
      <c r="B111" s="15"/>
      <c r="C111" s="10" t="s">
        <v>212</v>
      </c>
      <c r="D111" s="11" t="s">
        <v>107</v>
      </c>
      <c r="E111" s="3" t="s">
        <v>563</v>
      </c>
      <c r="F111" s="10" t="s">
        <v>564</v>
      </c>
      <c r="G111" s="12">
        <v>15938989995</v>
      </c>
      <c r="H111" s="18" t="s">
        <v>694</v>
      </c>
      <c r="I111" s="6" t="s">
        <v>827</v>
      </c>
    </row>
    <row r="112" spans="1:9" ht="14.25" customHeight="1" x14ac:dyDescent="0.2">
      <c r="A112" s="17"/>
      <c r="B112" s="15"/>
      <c r="C112" s="10" t="s">
        <v>249</v>
      </c>
      <c r="D112" s="11" t="s">
        <v>108</v>
      </c>
      <c r="E112" s="19" t="s">
        <v>566</v>
      </c>
      <c r="F112" s="10" t="s">
        <v>567</v>
      </c>
      <c r="G112" s="12">
        <v>15139907585</v>
      </c>
      <c r="H112" s="16" t="s">
        <v>695</v>
      </c>
      <c r="I112" s="6" t="s">
        <v>827</v>
      </c>
    </row>
    <row r="113" spans="1:9" ht="14.25" customHeight="1" x14ac:dyDescent="0.2">
      <c r="A113" s="17"/>
      <c r="B113" s="15"/>
      <c r="C113" s="10"/>
      <c r="D113" s="11" t="s">
        <v>109</v>
      </c>
      <c r="E113" s="3" t="s">
        <v>568</v>
      </c>
      <c r="F113" s="10" t="s">
        <v>170</v>
      </c>
      <c r="G113" s="12" t="s">
        <v>696</v>
      </c>
      <c r="H113" s="16" t="s">
        <v>569</v>
      </c>
      <c r="I113" s="6" t="s">
        <v>827</v>
      </c>
    </row>
    <row r="114" spans="1:9" ht="14.25" customHeight="1" x14ac:dyDescent="0.2">
      <c r="A114" s="17"/>
      <c r="B114" s="15"/>
      <c r="C114" s="10" t="s">
        <v>570</v>
      </c>
      <c r="D114" s="11" t="s">
        <v>110</v>
      </c>
      <c r="E114" s="19" t="s">
        <v>571</v>
      </c>
      <c r="F114" s="10" t="s">
        <v>572</v>
      </c>
      <c r="G114" s="12">
        <v>18755178211</v>
      </c>
      <c r="H114" s="14" t="s">
        <v>573</v>
      </c>
      <c r="I114" s="6" t="s">
        <v>827</v>
      </c>
    </row>
    <row r="115" spans="1:9" ht="14.25" customHeight="1" x14ac:dyDescent="0.2">
      <c r="A115" s="17"/>
      <c r="B115" s="15"/>
      <c r="C115" s="10" t="s">
        <v>420</v>
      </c>
      <c r="D115" s="11" t="s">
        <v>111</v>
      </c>
      <c r="E115" s="3" t="s">
        <v>574</v>
      </c>
      <c r="F115" s="10" t="s">
        <v>575</v>
      </c>
      <c r="G115" s="12">
        <v>15670509040</v>
      </c>
      <c r="H115" s="14" t="s">
        <v>576</v>
      </c>
      <c r="I115" s="6" t="s">
        <v>827</v>
      </c>
    </row>
    <row r="116" spans="1:9" ht="14.25" customHeight="1" x14ac:dyDescent="0.2">
      <c r="A116" s="17"/>
      <c r="B116" s="15"/>
      <c r="C116" s="10"/>
      <c r="D116" s="11" t="s">
        <v>112</v>
      </c>
      <c r="E116" s="3" t="s">
        <v>577</v>
      </c>
      <c r="F116" s="10" t="s">
        <v>578</v>
      </c>
      <c r="G116" s="12">
        <v>13523051252</v>
      </c>
      <c r="H116" s="14" t="s">
        <v>579</v>
      </c>
      <c r="I116" s="6" t="s">
        <v>827</v>
      </c>
    </row>
    <row r="117" spans="1:9" ht="14.25" customHeight="1" x14ac:dyDescent="0.2">
      <c r="A117" s="17"/>
      <c r="B117" s="15"/>
      <c r="C117" s="10"/>
      <c r="D117" s="11" t="s">
        <v>113</v>
      </c>
      <c r="E117" s="3" t="s">
        <v>580</v>
      </c>
      <c r="F117" s="10" t="s">
        <v>697</v>
      </c>
      <c r="G117" s="12"/>
      <c r="H117" s="16" t="s">
        <v>698</v>
      </c>
      <c r="I117" s="6" t="s">
        <v>827</v>
      </c>
    </row>
    <row r="118" spans="1:9" ht="14.25" customHeight="1" x14ac:dyDescent="0.2">
      <c r="A118" s="17"/>
      <c r="B118" s="15"/>
      <c r="C118" s="10"/>
      <c r="D118" s="11" t="s">
        <v>114</v>
      </c>
      <c r="E118" s="3" t="s">
        <v>581</v>
      </c>
      <c r="F118" s="10" t="s">
        <v>582</v>
      </c>
      <c r="G118" s="10">
        <v>18509150823</v>
      </c>
      <c r="H118" s="16" t="s">
        <v>699</v>
      </c>
      <c r="I118" s="6" t="s">
        <v>827</v>
      </c>
    </row>
    <row r="119" spans="1:9" ht="14.25" customHeight="1" x14ac:dyDescent="0.2">
      <c r="A119" s="17"/>
      <c r="B119" s="15"/>
      <c r="C119" s="10"/>
      <c r="D119" s="11" t="s">
        <v>115</v>
      </c>
      <c r="E119" s="3" t="s">
        <v>583</v>
      </c>
      <c r="F119" s="10" t="s">
        <v>584</v>
      </c>
      <c r="G119" s="12"/>
      <c r="H119" s="14" t="s">
        <v>585</v>
      </c>
      <c r="I119" s="6" t="s">
        <v>827</v>
      </c>
    </row>
    <row r="120" spans="1:9" ht="14.25" customHeight="1" x14ac:dyDescent="0.2">
      <c r="A120" s="17"/>
      <c r="B120" s="15"/>
      <c r="C120" s="10"/>
      <c r="D120" s="11" t="s">
        <v>116</v>
      </c>
      <c r="E120" s="3" t="s">
        <v>586</v>
      </c>
      <c r="F120" s="10" t="s">
        <v>587</v>
      </c>
      <c r="G120" s="12"/>
      <c r="H120" s="14" t="s">
        <v>588</v>
      </c>
      <c r="I120" s="6" t="s">
        <v>827</v>
      </c>
    </row>
    <row r="121" spans="1:9" ht="14.25" customHeight="1" x14ac:dyDescent="0.2">
      <c r="A121" s="17"/>
      <c r="B121" s="15"/>
      <c r="C121" s="10"/>
      <c r="D121" s="11" t="s">
        <v>117</v>
      </c>
      <c r="E121" s="3" t="s">
        <v>589</v>
      </c>
      <c r="F121" s="10" t="s">
        <v>700</v>
      </c>
      <c r="G121" s="12"/>
      <c r="H121" s="14" t="s">
        <v>701</v>
      </c>
      <c r="I121" s="6" t="s">
        <v>827</v>
      </c>
    </row>
    <row r="122" spans="1:9" ht="14.25" customHeight="1" x14ac:dyDescent="0.2">
      <c r="A122" s="17"/>
      <c r="B122" s="15"/>
      <c r="C122" s="10"/>
      <c r="D122" s="11" t="s">
        <v>118</v>
      </c>
      <c r="E122" s="3" t="s">
        <v>591</v>
      </c>
      <c r="F122" s="10" t="s">
        <v>702</v>
      </c>
      <c r="G122" s="12"/>
      <c r="H122" s="14" t="s">
        <v>703</v>
      </c>
      <c r="I122" s="6" t="s">
        <v>827</v>
      </c>
    </row>
    <row r="123" spans="1:9" ht="14.25" customHeight="1" x14ac:dyDescent="0.2">
      <c r="A123" s="17"/>
      <c r="B123" s="15"/>
      <c r="C123" s="10"/>
      <c r="D123" s="11" t="s">
        <v>119</v>
      </c>
      <c r="E123" s="19" t="s">
        <v>593</v>
      </c>
      <c r="F123" s="10" t="s">
        <v>704</v>
      </c>
      <c r="G123" s="12">
        <v>13956972719</v>
      </c>
      <c r="H123" s="14" t="s">
        <v>705</v>
      </c>
      <c r="I123" s="6" t="s">
        <v>827</v>
      </c>
    </row>
    <row r="124" spans="1:9" ht="14.25" customHeight="1" x14ac:dyDescent="0.2">
      <c r="A124" s="17"/>
      <c r="B124" s="15"/>
      <c r="C124" s="10"/>
      <c r="D124" s="11" t="s">
        <v>120</v>
      </c>
      <c r="E124" s="3" t="s">
        <v>594</v>
      </c>
      <c r="F124" s="10" t="s">
        <v>706</v>
      </c>
      <c r="G124" s="12">
        <v>13782662686</v>
      </c>
      <c r="H124" s="14" t="s">
        <v>707</v>
      </c>
      <c r="I124" s="6" t="s">
        <v>827</v>
      </c>
    </row>
    <row r="125" spans="1:9" ht="14.25" customHeight="1" x14ac:dyDescent="0.2">
      <c r="A125" s="17"/>
      <c r="B125" s="15"/>
      <c r="C125" s="10"/>
      <c r="D125" s="11" t="s">
        <v>121</v>
      </c>
      <c r="E125" s="3" t="s">
        <v>596</v>
      </c>
      <c r="F125" s="10" t="s">
        <v>597</v>
      </c>
      <c r="G125" s="10">
        <v>13849262744</v>
      </c>
      <c r="H125" s="14" t="s">
        <v>708</v>
      </c>
      <c r="I125" s="6" t="s">
        <v>827</v>
      </c>
    </row>
    <row r="126" spans="1:9" ht="14.25" customHeight="1" x14ac:dyDescent="0.2">
      <c r="A126" s="17"/>
      <c r="B126" s="15"/>
      <c r="C126" s="10"/>
      <c r="D126" s="11" t="s">
        <v>122</v>
      </c>
      <c r="E126" s="3" t="s">
        <v>599</v>
      </c>
      <c r="F126" s="10" t="s">
        <v>709</v>
      </c>
      <c r="G126" s="12">
        <v>13353839196</v>
      </c>
      <c r="H126" s="14" t="s">
        <v>710</v>
      </c>
      <c r="I126" s="6" t="s">
        <v>827</v>
      </c>
    </row>
    <row r="127" spans="1:9" ht="14.25" customHeight="1" x14ac:dyDescent="0.2">
      <c r="A127" s="17"/>
      <c r="B127" s="15"/>
      <c r="C127" s="10"/>
      <c r="D127" s="11" t="s">
        <v>124</v>
      </c>
      <c r="E127" s="3" t="s">
        <v>711</v>
      </c>
      <c r="F127" s="10" t="s">
        <v>712</v>
      </c>
      <c r="G127" s="12" t="s">
        <v>713</v>
      </c>
      <c r="H127" s="14" t="s">
        <v>714</v>
      </c>
      <c r="I127" s="6" t="s">
        <v>827</v>
      </c>
    </row>
    <row r="128" spans="1:9" ht="14.25" customHeight="1" x14ac:dyDescent="0.2">
      <c r="A128" s="17"/>
      <c r="B128" s="15"/>
      <c r="C128" s="10"/>
      <c r="D128" s="11" t="s">
        <v>125</v>
      </c>
      <c r="E128" s="3" t="s">
        <v>715</v>
      </c>
      <c r="F128" s="10" t="s">
        <v>602</v>
      </c>
      <c r="G128" s="10">
        <v>13333980331</v>
      </c>
      <c r="H128" s="14" t="s">
        <v>716</v>
      </c>
      <c r="I128" s="6" t="s">
        <v>827</v>
      </c>
    </row>
    <row r="129" spans="1:9" ht="14.25" customHeight="1" x14ac:dyDescent="0.2">
      <c r="A129" s="17"/>
      <c r="B129" s="15"/>
      <c r="C129" s="10"/>
      <c r="D129" s="11" t="s">
        <v>126</v>
      </c>
      <c r="E129" s="3" t="s">
        <v>717</v>
      </c>
      <c r="F129" s="10" t="s">
        <v>718</v>
      </c>
      <c r="G129" s="12"/>
      <c r="H129" s="14" t="s">
        <v>536</v>
      </c>
      <c r="I129" s="6" t="s">
        <v>827</v>
      </c>
    </row>
    <row r="130" spans="1:9" ht="14.25" customHeight="1" x14ac:dyDescent="0.2">
      <c r="A130" s="17"/>
      <c r="B130" s="15"/>
      <c r="C130" s="10"/>
      <c r="D130" s="11" t="s">
        <v>127</v>
      </c>
      <c r="E130" s="3" t="s">
        <v>719</v>
      </c>
      <c r="F130" s="10" t="s">
        <v>604</v>
      </c>
      <c r="G130" s="10">
        <v>13346628508</v>
      </c>
      <c r="H130" s="16" t="s">
        <v>720</v>
      </c>
      <c r="I130" s="6" t="s">
        <v>827</v>
      </c>
    </row>
    <row r="131" spans="1:9" ht="14.25" customHeight="1" x14ac:dyDescent="0.2">
      <c r="A131" s="17"/>
      <c r="B131" s="15"/>
      <c r="C131" s="10"/>
      <c r="D131" s="11" t="s">
        <v>128</v>
      </c>
      <c r="E131" s="3" t="s">
        <v>721</v>
      </c>
      <c r="F131" s="10" t="s">
        <v>606</v>
      </c>
      <c r="G131" s="10">
        <v>18269829810</v>
      </c>
      <c r="H131" s="14" t="s">
        <v>722</v>
      </c>
      <c r="I131" s="6" t="s">
        <v>827</v>
      </c>
    </row>
    <row r="132" spans="1:9" ht="14.25" customHeight="1" x14ac:dyDescent="0.2">
      <c r="A132" s="17"/>
      <c r="B132" s="15"/>
      <c r="C132" s="10"/>
      <c r="D132" s="11" t="s">
        <v>129</v>
      </c>
      <c r="E132" s="3" t="s">
        <v>723</v>
      </c>
      <c r="F132" s="10" t="s">
        <v>724</v>
      </c>
      <c r="G132" s="12"/>
      <c r="H132" s="14" t="s">
        <v>725</v>
      </c>
      <c r="I132" s="6" t="s">
        <v>827</v>
      </c>
    </row>
    <row r="133" spans="1:9" ht="14.25" customHeight="1" x14ac:dyDescent="0.2">
      <c r="A133" s="17"/>
      <c r="B133" s="15"/>
      <c r="C133" s="10"/>
      <c r="D133" s="11" t="s">
        <v>130</v>
      </c>
      <c r="E133" s="3" t="s">
        <v>609</v>
      </c>
      <c r="F133" s="10" t="s">
        <v>726</v>
      </c>
      <c r="G133" s="12"/>
      <c r="H133" s="14" t="s">
        <v>610</v>
      </c>
      <c r="I133" s="6" t="s">
        <v>827</v>
      </c>
    </row>
    <row r="134" spans="1:9" ht="14.25" customHeight="1" x14ac:dyDescent="0.2">
      <c r="A134" s="17"/>
      <c r="B134" s="15"/>
      <c r="C134" s="10"/>
      <c r="D134" s="11" t="s">
        <v>131</v>
      </c>
      <c r="E134" s="3" t="s">
        <v>727</v>
      </c>
      <c r="F134" s="10" t="s">
        <v>611</v>
      </c>
      <c r="G134" s="10">
        <v>13753642020</v>
      </c>
      <c r="H134" s="14" t="s">
        <v>728</v>
      </c>
      <c r="I134" s="6" t="s">
        <v>827</v>
      </c>
    </row>
    <row r="135" spans="1:9" ht="14.25" customHeight="1" x14ac:dyDescent="0.2">
      <c r="A135" s="17"/>
      <c r="B135" s="15"/>
      <c r="C135" s="10"/>
      <c r="D135" s="11" t="s">
        <v>132</v>
      </c>
      <c r="E135" s="3" t="s">
        <v>613</v>
      </c>
      <c r="F135" s="10" t="s">
        <v>729</v>
      </c>
      <c r="G135" s="12"/>
      <c r="H135" s="14" t="s">
        <v>555</v>
      </c>
      <c r="I135" s="6" t="s">
        <v>827</v>
      </c>
    </row>
    <row r="136" spans="1:9" ht="14.25" customHeight="1" x14ac:dyDescent="0.2">
      <c r="A136" s="17"/>
      <c r="B136" s="15"/>
      <c r="C136" s="10" t="s">
        <v>730</v>
      </c>
      <c r="D136" s="11" t="s">
        <v>133</v>
      </c>
      <c r="E136" s="3" t="s">
        <v>731</v>
      </c>
      <c r="F136" s="10" t="s">
        <v>614</v>
      </c>
      <c r="G136" s="10">
        <v>13643808168</v>
      </c>
      <c r="H136" s="16" t="s">
        <v>732</v>
      </c>
      <c r="I136" s="6" t="s">
        <v>827</v>
      </c>
    </row>
    <row r="137" spans="1:9" ht="14.25" customHeight="1" x14ac:dyDescent="0.2">
      <c r="A137" s="17"/>
      <c r="B137" s="15"/>
      <c r="C137" s="10" t="s">
        <v>730</v>
      </c>
      <c r="D137" s="11" t="s">
        <v>134</v>
      </c>
      <c r="E137" s="3" t="s">
        <v>616</v>
      </c>
      <c r="F137" s="10" t="s">
        <v>617</v>
      </c>
      <c r="G137" s="10">
        <v>15537772227</v>
      </c>
      <c r="H137" s="16" t="s">
        <v>733</v>
      </c>
      <c r="I137" s="6" t="s">
        <v>827</v>
      </c>
    </row>
    <row r="138" spans="1:9" ht="14.25" customHeight="1" x14ac:dyDescent="0.2">
      <c r="A138" s="17"/>
      <c r="B138" s="15"/>
      <c r="C138" s="10"/>
      <c r="D138" s="11" t="s">
        <v>135</v>
      </c>
      <c r="E138" s="3" t="s">
        <v>619</v>
      </c>
      <c r="F138" s="10" t="s">
        <v>734</v>
      </c>
      <c r="G138" s="12">
        <v>13972782886</v>
      </c>
      <c r="H138" s="33" t="s">
        <v>735</v>
      </c>
      <c r="I138" s="6" t="s">
        <v>827</v>
      </c>
    </row>
    <row r="139" spans="1:9" ht="14.25" customHeight="1" x14ac:dyDescent="0.2">
      <c r="A139" s="17"/>
      <c r="B139" s="15"/>
      <c r="C139" s="10" t="s">
        <v>730</v>
      </c>
      <c r="D139" s="11" t="s">
        <v>136</v>
      </c>
      <c r="E139" s="3" t="s">
        <v>621</v>
      </c>
      <c r="F139" s="10" t="s">
        <v>480</v>
      </c>
      <c r="G139" s="10">
        <v>15136861717</v>
      </c>
      <c r="H139" s="34" t="s">
        <v>736</v>
      </c>
      <c r="I139" s="6" t="s">
        <v>827</v>
      </c>
    </row>
    <row r="140" spans="1:9" ht="14.25" customHeight="1" x14ac:dyDescent="0.2">
      <c r="A140" s="17"/>
      <c r="B140" s="15"/>
      <c r="C140" s="10"/>
      <c r="D140" s="11" t="s">
        <v>137</v>
      </c>
      <c r="E140" s="3" t="s">
        <v>623</v>
      </c>
      <c r="F140" s="10" t="s">
        <v>624</v>
      </c>
      <c r="G140" s="10">
        <v>15993555318</v>
      </c>
      <c r="H140" s="34" t="s">
        <v>737</v>
      </c>
      <c r="I140" s="6" t="s">
        <v>827</v>
      </c>
    </row>
    <row r="141" spans="1:9" ht="14.25" customHeight="1" x14ac:dyDescent="0.2">
      <c r="A141" s="17"/>
      <c r="B141" s="15"/>
      <c r="C141" s="10"/>
      <c r="D141" s="11" t="s">
        <v>138</v>
      </c>
      <c r="E141" s="3" t="s">
        <v>626</v>
      </c>
      <c r="F141" s="10"/>
      <c r="G141" s="10"/>
      <c r="H141" s="34" t="s">
        <v>673</v>
      </c>
      <c r="I141" s="6" t="s">
        <v>827</v>
      </c>
    </row>
    <row r="142" spans="1:9" ht="14.25" customHeight="1" x14ac:dyDescent="0.2">
      <c r="A142" s="17"/>
      <c r="B142" s="15"/>
      <c r="C142" s="10"/>
      <c r="D142" s="11" t="s">
        <v>139</v>
      </c>
      <c r="E142" s="3" t="s">
        <v>627</v>
      </c>
      <c r="F142" s="10" t="s">
        <v>628</v>
      </c>
      <c r="G142" s="10">
        <v>18895511888</v>
      </c>
      <c r="H142" s="33" t="s">
        <v>738</v>
      </c>
      <c r="I142" s="6" t="s">
        <v>827</v>
      </c>
    </row>
    <row r="143" spans="1:9" ht="14.25" customHeight="1" x14ac:dyDescent="0.2">
      <c r="A143" s="17"/>
      <c r="B143" s="15"/>
      <c r="C143" s="10"/>
      <c r="D143" s="11" t="s">
        <v>140</v>
      </c>
      <c r="E143" s="3" t="s">
        <v>629</v>
      </c>
      <c r="F143" s="10" t="s">
        <v>630</v>
      </c>
      <c r="G143" s="10" t="s">
        <v>631</v>
      </c>
      <c r="H143" s="34" t="s">
        <v>739</v>
      </c>
      <c r="I143" s="6" t="s">
        <v>827</v>
      </c>
    </row>
    <row r="144" spans="1:9" ht="14.25" customHeight="1" x14ac:dyDescent="0.2">
      <c r="A144" s="17"/>
      <c r="B144" s="15"/>
      <c r="C144" s="10"/>
      <c r="D144" s="11" t="s">
        <v>141</v>
      </c>
      <c r="E144" s="3" t="s">
        <v>633</v>
      </c>
      <c r="F144" s="10" t="s">
        <v>634</v>
      </c>
      <c r="G144" s="10" t="s">
        <v>635</v>
      </c>
      <c r="H144" s="34" t="s">
        <v>740</v>
      </c>
      <c r="I144" s="6" t="s">
        <v>827</v>
      </c>
    </row>
    <row r="145" spans="1:9" ht="14.25" customHeight="1" x14ac:dyDescent="0.2">
      <c r="A145" s="17"/>
      <c r="B145" s="15"/>
      <c r="C145" s="10"/>
      <c r="D145" s="11" t="s">
        <v>142</v>
      </c>
      <c r="E145" s="3" t="s">
        <v>637</v>
      </c>
      <c r="F145" s="10" t="s">
        <v>638</v>
      </c>
      <c r="G145" s="10">
        <v>13673004559</v>
      </c>
      <c r="H145" s="34" t="s">
        <v>741</v>
      </c>
      <c r="I145" s="6" t="s">
        <v>827</v>
      </c>
    </row>
    <row r="146" spans="1:9" ht="14.25" customHeight="1" x14ac:dyDescent="0.2">
      <c r="A146" s="17"/>
      <c r="B146" s="15"/>
      <c r="C146" s="10"/>
      <c r="D146" s="11" t="s">
        <v>143</v>
      </c>
      <c r="E146" s="3" t="s">
        <v>640</v>
      </c>
      <c r="F146" s="10">
        <v>0</v>
      </c>
      <c r="G146" s="10">
        <v>0</v>
      </c>
      <c r="H146" s="34" t="s">
        <v>742</v>
      </c>
      <c r="I146" s="6" t="s">
        <v>827</v>
      </c>
    </row>
    <row r="147" spans="1:9" ht="14.25" customHeight="1" x14ac:dyDescent="0.2">
      <c r="A147" s="17"/>
      <c r="B147" s="15"/>
      <c r="C147" s="10"/>
      <c r="D147" s="11" t="s">
        <v>144</v>
      </c>
      <c r="E147" s="3" t="s">
        <v>641</v>
      </c>
      <c r="F147" s="10" t="s">
        <v>743</v>
      </c>
      <c r="G147" s="10">
        <v>18503959977</v>
      </c>
      <c r="H147" s="34" t="s">
        <v>744</v>
      </c>
      <c r="I147" s="6" t="s">
        <v>827</v>
      </c>
    </row>
    <row r="148" spans="1:9" ht="14.25" customHeight="1" x14ac:dyDescent="0.2">
      <c r="A148" s="17"/>
      <c r="B148" s="15"/>
      <c r="C148" s="10"/>
      <c r="D148" s="11" t="s">
        <v>145</v>
      </c>
      <c r="E148" s="3" t="s">
        <v>643</v>
      </c>
      <c r="F148" s="10" t="s">
        <v>644</v>
      </c>
      <c r="G148" s="10">
        <v>13838359253</v>
      </c>
      <c r="H148" s="33" t="s">
        <v>745</v>
      </c>
      <c r="I148" s="6" t="s">
        <v>827</v>
      </c>
    </row>
    <row r="149" spans="1:9" ht="14.25" customHeight="1" x14ac:dyDescent="0.2">
      <c r="A149" s="17"/>
      <c r="B149" s="15"/>
      <c r="C149" s="10"/>
      <c r="D149" s="11" t="s">
        <v>146</v>
      </c>
      <c r="E149" s="3" t="s">
        <v>646</v>
      </c>
      <c r="F149" s="10" t="s">
        <v>647</v>
      </c>
      <c r="G149" s="10">
        <v>18303036688</v>
      </c>
      <c r="H149" s="34" t="s">
        <v>746</v>
      </c>
      <c r="I149" s="6" t="s">
        <v>827</v>
      </c>
    </row>
    <row r="150" spans="1:9" ht="14.25" customHeight="1" x14ac:dyDescent="0.2">
      <c r="A150" s="17"/>
      <c r="B150" s="15"/>
      <c r="C150" s="10"/>
      <c r="D150" s="11" t="s">
        <v>147</v>
      </c>
      <c r="E150" s="3" t="s">
        <v>649</v>
      </c>
      <c r="F150" s="10" t="s">
        <v>509</v>
      </c>
      <c r="G150" s="10">
        <v>18937016076</v>
      </c>
      <c r="H150" s="14" t="s">
        <v>510</v>
      </c>
      <c r="I150" s="6" t="s">
        <v>827</v>
      </c>
    </row>
    <row r="151" spans="1:9" ht="13.5" customHeight="1" x14ac:dyDescent="0.2">
      <c r="A151" s="17"/>
      <c r="B151" s="15"/>
      <c r="C151" s="10"/>
      <c r="D151" s="11" t="s">
        <v>148</v>
      </c>
      <c r="E151" s="3" t="s">
        <v>650</v>
      </c>
      <c r="F151" s="10">
        <v>0</v>
      </c>
      <c r="G151" s="10">
        <v>13782902169</v>
      </c>
      <c r="H151" s="34" t="s">
        <v>673</v>
      </c>
      <c r="I151" s="6" t="s">
        <v>827</v>
      </c>
    </row>
    <row r="152" spans="1:9" ht="13.5" customHeight="1" x14ac:dyDescent="0.2">
      <c r="A152" s="17"/>
      <c r="B152" s="15"/>
      <c r="C152" s="10"/>
      <c r="D152" s="11" t="s">
        <v>149</v>
      </c>
      <c r="E152" s="3" t="s">
        <v>747</v>
      </c>
      <c r="F152" s="10" t="s">
        <v>748</v>
      </c>
      <c r="G152" s="12"/>
      <c r="H152" s="34" t="s">
        <v>749</v>
      </c>
      <c r="I152" s="6" t="s">
        <v>827</v>
      </c>
    </row>
    <row r="153" spans="1:9" ht="13.5" customHeight="1" x14ac:dyDescent="0.2">
      <c r="A153" s="17">
        <v>134</v>
      </c>
      <c r="B153" s="15"/>
      <c r="C153" s="10" t="s">
        <v>652</v>
      </c>
      <c r="D153" s="11" t="s">
        <v>160</v>
      </c>
      <c r="E153" s="3" t="s">
        <v>652</v>
      </c>
      <c r="F153" s="10" t="s">
        <v>653</v>
      </c>
      <c r="G153" s="12"/>
      <c r="H153" s="34" t="s">
        <v>750</v>
      </c>
      <c r="I153" s="6" t="s">
        <v>827</v>
      </c>
    </row>
    <row r="154" spans="1:9" ht="13.5" customHeight="1" x14ac:dyDescent="0.2">
      <c r="A154" s="17"/>
      <c r="B154" s="15"/>
      <c r="C154" s="10"/>
      <c r="D154" s="11" t="s">
        <v>150</v>
      </c>
      <c r="E154" s="3" t="s">
        <v>654</v>
      </c>
      <c r="F154" s="10" t="s">
        <v>365</v>
      </c>
      <c r="G154" s="12" t="s">
        <v>366</v>
      </c>
      <c r="H154" s="34" t="s">
        <v>751</v>
      </c>
      <c r="I154" s="6" t="s">
        <v>827</v>
      </c>
    </row>
    <row r="155" spans="1:9" ht="13.5" customHeight="1" x14ac:dyDescent="0.2">
      <c r="A155" s="17"/>
      <c r="B155" s="15"/>
      <c r="C155" s="10"/>
      <c r="D155" s="11" t="s">
        <v>151</v>
      </c>
      <c r="E155" s="19" t="s">
        <v>752</v>
      </c>
      <c r="F155" s="10" t="s">
        <v>655</v>
      </c>
      <c r="G155" s="10">
        <v>15138055581</v>
      </c>
      <c r="H155" s="34" t="s">
        <v>753</v>
      </c>
      <c r="I155" s="6" t="s">
        <v>827</v>
      </c>
    </row>
    <row r="156" spans="1:9" ht="13.5" customHeight="1" x14ac:dyDescent="0.2">
      <c r="A156" s="17"/>
      <c r="B156" s="15"/>
      <c r="C156" s="10"/>
      <c r="D156" s="11" t="s">
        <v>153</v>
      </c>
      <c r="E156" s="3" t="s">
        <v>657</v>
      </c>
      <c r="F156" s="10" t="s">
        <v>658</v>
      </c>
      <c r="G156" s="10">
        <v>15964160937</v>
      </c>
      <c r="H156" s="34" t="s">
        <v>754</v>
      </c>
      <c r="I156" s="6" t="s">
        <v>827</v>
      </c>
    </row>
    <row r="157" spans="1:9" ht="13.5" customHeight="1" x14ac:dyDescent="0.2">
      <c r="A157" s="17"/>
      <c r="B157" s="15"/>
      <c r="C157" s="10"/>
      <c r="D157" s="11" t="s">
        <v>152</v>
      </c>
      <c r="E157" s="3" t="s">
        <v>660</v>
      </c>
      <c r="F157" s="10" t="s">
        <v>661</v>
      </c>
      <c r="G157" s="10">
        <v>0</v>
      </c>
      <c r="H157" s="34" t="s">
        <v>755</v>
      </c>
      <c r="I157" s="6" t="s">
        <v>827</v>
      </c>
    </row>
    <row r="158" spans="1:9" ht="13.5" customHeight="1" x14ac:dyDescent="0.2">
      <c r="A158" s="17"/>
      <c r="B158" s="15"/>
      <c r="C158" s="10"/>
      <c r="D158" s="11" t="s">
        <v>154</v>
      </c>
      <c r="E158" s="3" t="s">
        <v>663</v>
      </c>
      <c r="F158" s="10" t="s">
        <v>664</v>
      </c>
      <c r="G158" s="10">
        <v>13838383854</v>
      </c>
      <c r="H158" s="62" t="s">
        <v>831</v>
      </c>
      <c r="I158" s="6" t="s">
        <v>827</v>
      </c>
    </row>
    <row r="159" spans="1:9" ht="19.5" customHeight="1" x14ac:dyDescent="0.2">
      <c r="A159" s="17"/>
      <c r="B159" s="15"/>
      <c r="C159" s="10"/>
      <c r="D159" s="11" t="s">
        <v>156</v>
      </c>
      <c r="E159" s="6" t="s">
        <v>665</v>
      </c>
      <c r="F159" s="10"/>
      <c r="G159" s="10"/>
      <c r="H159" s="34" t="s">
        <v>698</v>
      </c>
      <c r="I159" s="6" t="s">
        <v>827</v>
      </c>
    </row>
    <row r="160" spans="1:9" ht="15.75" customHeight="1" x14ac:dyDescent="0.2">
      <c r="A160" s="35"/>
      <c r="B160" s="36"/>
      <c r="C160" s="37"/>
      <c r="D160" s="38" t="s">
        <v>157</v>
      </c>
      <c r="E160" s="39" t="s">
        <v>756</v>
      </c>
      <c r="F160" s="37"/>
      <c r="G160" s="40"/>
      <c r="H160" s="18" t="s">
        <v>757</v>
      </c>
      <c r="I160" s="6" t="s">
        <v>827</v>
      </c>
    </row>
    <row r="161" spans="1:9" x14ac:dyDescent="0.2">
      <c r="A161" s="35"/>
      <c r="B161" s="36"/>
      <c r="C161" s="37"/>
      <c r="D161" s="38" t="s">
        <v>158</v>
      </c>
      <c r="E161" s="39" t="s">
        <v>758</v>
      </c>
      <c r="F161" s="37"/>
      <c r="G161" s="40"/>
      <c r="H161" s="41" t="s">
        <v>759</v>
      </c>
      <c r="I161" s="6" t="s">
        <v>827</v>
      </c>
    </row>
    <row r="162" spans="1:9" x14ac:dyDescent="0.2">
      <c r="A162" s="35"/>
      <c r="B162" s="36"/>
      <c r="C162" s="37"/>
      <c r="D162" s="38" t="s">
        <v>159</v>
      </c>
      <c r="E162" s="39" t="s">
        <v>760</v>
      </c>
      <c r="F162" s="37"/>
      <c r="G162" s="40"/>
      <c r="H162" s="41" t="s">
        <v>761</v>
      </c>
      <c r="I162" s="6" t="s">
        <v>827</v>
      </c>
    </row>
    <row r="163" spans="1:9" x14ac:dyDescent="0.2">
      <c r="A163" s="35"/>
      <c r="B163" s="36"/>
      <c r="C163" s="37"/>
      <c r="D163" s="38" t="s">
        <v>155</v>
      </c>
      <c r="E163" s="39"/>
      <c r="F163" s="37"/>
      <c r="G163" s="40"/>
      <c r="H163" s="41" t="s">
        <v>762</v>
      </c>
      <c r="I163" s="6" t="s">
        <v>827</v>
      </c>
    </row>
    <row r="164" spans="1:9" x14ac:dyDescent="0.2">
      <c r="A164" s="35"/>
      <c r="B164" s="36"/>
      <c r="C164" s="37"/>
      <c r="D164" s="38" t="s">
        <v>123</v>
      </c>
      <c r="E164" s="39"/>
      <c r="F164" s="37"/>
      <c r="G164" s="40"/>
      <c r="H164" s="42" t="s">
        <v>691</v>
      </c>
      <c r="I164" s="6" t="s">
        <v>827</v>
      </c>
    </row>
    <row r="165" spans="1:9" x14ac:dyDescent="0.2">
      <c r="A165" s="35"/>
      <c r="B165" s="36"/>
      <c r="C165" s="37"/>
      <c r="D165" s="38" t="s">
        <v>807</v>
      </c>
      <c r="E165" s="39" t="s">
        <v>803</v>
      </c>
      <c r="F165" s="37"/>
      <c r="G165" s="40"/>
      <c r="H165" s="41" t="s">
        <v>805</v>
      </c>
      <c r="I165" s="6" t="s">
        <v>827</v>
      </c>
    </row>
    <row r="166" spans="1:9" x14ac:dyDescent="0.2">
      <c r="A166" s="17"/>
      <c r="B166" s="15"/>
      <c r="C166" s="10"/>
      <c r="D166" s="11" t="s">
        <v>810</v>
      </c>
      <c r="E166" s="3" t="s">
        <v>811</v>
      </c>
      <c r="F166" s="10"/>
      <c r="G166" s="12"/>
      <c r="H166" s="14" t="s">
        <v>812</v>
      </c>
      <c r="I166" s="6" t="s">
        <v>827</v>
      </c>
    </row>
    <row r="167" spans="1:9" x14ac:dyDescent="0.2">
      <c r="A167" s="35"/>
      <c r="B167" s="36"/>
      <c r="C167" s="37"/>
      <c r="D167" s="38" t="s">
        <v>813</v>
      </c>
      <c r="E167" s="39" t="s">
        <v>814</v>
      </c>
      <c r="F167" s="37"/>
      <c r="G167" s="40"/>
      <c r="H167" s="47" t="s">
        <v>815</v>
      </c>
      <c r="I167" s="6" t="s">
        <v>827</v>
      </c>
    </row>
    <row r="168" spans="1:9" x14ac:dyDescent="0.2">
      <c r="A168" s="49"/>
      <c r="B168" s="50"/>
      <c r="C168" s="51"/>
      <c r="D168" s="57" t="s">
        <v>824</v>
      </c>
      <c r="E168" s="52" t="s">
        <v>817</v>
      </c>
      <c r="F168" s="51"/>
      <c r="G168" s="53"/>
      <c r="H168" s="54" t="s">
        <v>818</v>
      </c>
      <c r="I168" s="6" t="s">
        <v>827</v>
      </c>
    </row>
    <row r="169" spans="1:9" x14ac:dyDescent="0.2">
      <c r="A169" s="49"/>
      <c r="B169" s="50"/>
      <c r="C169" s="51"/>
      <c r="D169" s="57" t="s">
        <v>825</v>
      </c>
      <c r="E169" s="52" t="s">
        <v>819</v>
      </c>
      <c r="F169" s="51"/>
      <c r="G169" s="53"/>
      <c r="H169" s="54" t="s">
        <v>820</v>
      </c>
      <c r="I169" s="6" t="s">
        <v>827</v>
      </c>
    </row>
    <row r="170" spans="1:9" x14ac:dyDescent="0.2">
      <c r="A170" s="49"/>
      <c r="B170" s="50"/>
      <c r="C170" s="51"/>
      <c r="D170" s="57" t="s">
        <v>826</v>
      </c>
      <c r="E170" s="52" t="s">
        <v>821</v>
      </c>
      <c r="F170" s="51"/>
      <c r="G170" s="53"/>
      <c r="H170" s="46" t="s">
        <v>822</v>
      </c>
      <c r="I170" s="6" t="s">
        <v>827</v>
      </c>
    </row>
    <row r="171" spans="1:9" x14ac:dyDescent="0.2">
      <c r="A171" s="49"/>
      <c r="B171" s="50"/>
      <c r="C171" s="51"/>
      <c r="D171" s="60">
        <v>9045</v>
      </c>
      <c r="E171" s="52"/>
      <c r="F171" s="51"/>
      <c r="G171" s="53"/>
      <c r="H171" s="54" t="s">
        <v>828</v>
      </c>
      <c r="I171" s="6" t="s">
        <v>827</v>
      </c>
    </row>
    <row r="172" spans="1:9" x14ac:dyDescent="0.2">
      <c r="A172" s="49"/>
      <c r="B172" s="50"/>
      <c r="C172" s="51"/>
      <c r="D172" s="60" t="s">
        <v>990</v>
      </c>
      <c r="E172" s="61" t="s">
        <v>994</v>
      </c>
      <c r="F172" s="51"/>
      <c r="G172" s="53"/>
      <c r="H172" s="54" t="s">
        <v>642</v>
      </c>
      <c r="I172" s="6" t="s">
        <v>827</v>
      </c>
    </row>
    <row r="173" spans="1:9" x14ac:dyDescent="0.2">
      <c r="A173" s="49"/>
      <c r="B173" s="50"/>
      <c r="C173" s="51"/>
      <c r="D173" s="60">
        <v>29218</v>
      </c>
      <c r="E173" s="52" t="s">
        <v>829</v>
      </c>
      <c r="F173" s="51"/>
      <c r="G173" s="53"/>
      <c r="H173" s="54" t="s">
        <v>830</v>
      </c>
      <c r="I173" s="6" t="s">
        <v>827</v>
      </c>
    </row>
    <row r="174" spans="1:9" x14ac:dyDescent="0.2">
      <c r="A174" s="49"/>
      <c r="B174" s="50"/>
      <c r="C174" s="51"/>
      <c r="D174" s="60">
        <v>29219</v>
      </c>
      <c r="E174" s="52" t="s">
        <v>832</v>
      </c>
      <c r="F174" s="51"/>
      <c r="G174" s="53"/>
      <c r="H174" s="54" t="s">
        <v>833</v>
      </c>
      <c r="I174" s="6" t="s">
        <v>827</v>
      </c>
    </row>
    <row r="175" spans="1:9" x14ac:dyDescent="0.2">
      <c r="A175" s="67"/>
      <c r="B175" s="68"/>
      <c r="C175" s="69"/>
      <c r="D175" s="70" t="s">
        <v>766</v>
      </c>
      <c r="E175" s="71" t="s">
        <v>796</v>
      </c>
      <c r="F175" s="69"/>
      <c r="G175" s="72"/>
      <c r="H175" s="73" t="s">
        <v>196</v>
      </c>
      <c r="I175" s="6" t="s">
        <v>827</v>
      </c>
    </row>
    <row r="176" spans="1:9" x14ac:dyDescent="0.2">
      <c r="A176" s="67"/>
      <c r="B176" s="68"/>
      <c r="C176" s="69"/>
      <c r="D176" s="70" t="s">
        <v>767</v>
      </c>
      <c r="E176" s="71" t="s">
        <v>797</v>
      </c>
      <c r="F176" s="69"/>
      <c r="G176" s="72"/>
      <c r="H176" s="73" t="s">
        <v>772</v>
      </c>
      <c r="I176" s="6" t="s">
        <v>827</v>
      </c>
    </row>
    <row r="177" spans="1:9" x14ac:dyDescent="0.2">
      <c r="A177" s="67"/>
      <c r="B177" s="68"/>
      <c r="C177" s="69"/>
      <c r="D177" s="70" t="s">
        <v>768</v>
      </c>
      <c r="E177" s="71" t="s">
        <v>798</v>
      </c>
      <c r="F177" s="69"/>
      <c r="G177" s="72"/>
      <c r="H177" s="73" t="s">
        <v>801</v>
      </c>
      <c r="I177" s="6" t="s">
        <v>827</v>
      </c>
    </row>
    <row r="178" spans="1:9" x14ac:dyDescent="0.2">
      <c r="A178" s="67"/>
      <c r="B178" s="68"/>
      <c r="C178" s="69"/>
      <c r="D178" s="70" t="s">
        <v>769</v>
      </c>
      <c r="E178" s="71" t="s">
        <v>799</v>
      </c>
      <c r="F178" s="69"/>
      <c r="G178" s="72"/>
      <c r="H178" s="73" t="s">
        <v>835</v>
      </c>
      <c r="I178" s="6" t="s">
        <v>827</v>
      </c>
    </row>
    <row r="179" spans="1:9" x14ac:dyDescent="0.2">
      <c r="A179" s="49"/>
      <c r="B179" s="50"/>
      <c r="C179" s="51"/>
      <c r="D179" s="60" t="s">
        <v>770</v>
      </c>
      <c r="E179" s="52" t="s">
        <v>800</v>
      </c>
      <c r="F179" s="51"/>
      <c r="G179" s="53"/>
      <c r="H179" s="74" t="s">
        <v>836</v>
      </c>
      <c r="I179" s="6" t="s">
        <v>827</v>
      </c>
    </row>
    <row r="180" spans="1:9" x14ac:dyDescent="0.2">
      <c r="A180" s="67"/>
      <c r="B180" s="68"/>
      <c r="C180" s="69"/>
      <c r="D180" s="70"/>
      <c r="E180" s="71"/>
      <c r="F180" s="69"/>
      <c r="G180" s="72"/>
      <c r="H180" s="73" t="s">
        <v>773</v>
      </c>
      <c r="I180" s="6" t="s">
        <v>827</v>
      </c>
    </row>
  </sheetData>
  <phoneticPr fontId="1" type="noConversion"/>
  <conditionalFormatting sqref="D173:E17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H13" r:id="rId1" xr:uid="{2156EAFA-C208-49C3-ACF7-159E49544C62}"/>
    <hyperlink ref="H15" r:id="rId2" xr:uid="{24650A5E-01CC-4BCE-A512-09EC62C72344}"/>
    <hyperlink ref="H8" r:id="rId3" xr:uid="{2983065F-D7D3-493F-B0C8-3F42371AC751}"/>
    <hyperlink ref="H14" r:id="rId4" xr:uid="{CFD6DB4E-8CF5-4A3A-9E1C-9F681181C28A}"/>
    <hyperlink ref="H9" r:id="rId5" xr:uid="{980951F7-DB6E-43C1-B89B-10B83689AC07}"/>
    <hyperlink ref="H10" r:id="rId6" xr:uid="{D04F0076-19E6-4B04-A0F4-AD7BC0AEC78F}"/>
    <hyperlink ref="H12" r:id="rId7" xr:uid="{57E47A12-8386-43BD-B166-C2B802B09BAE}"/>
    <hyperlink ref="H27" r:id="rId8" xr:uid="{606E9DC8-5027-42B3-BA63-59F938F21A9B}"/>
    <hyperlink ref="H30" r:id="rId9" xr:uid="{E4836AE4-AE08-45DC-A05E-F368D1B37DAB}"/>
    <hyperlink ref="H28" r:id="rId10" xr:uid="{8FFDE54B-3B9D-44AE-9CF4-1C7690648DA4}"/>
    <hyperlink ref="H17" r:id="rId11" xr:uid="{FBF7A0E6-41A6-49D1-8892-591E0E0F36E0}"/>
    <hyperlink ref="H3" r:id="rId12" xr:uid="{DD52058A-7197-4121-9A0A-2C93D1F4FED9}"/>
    <hyperlink ref="H21" r:id="rId13" xr:uid="{CD467035-2DAE-46EE-A522-D653E9C75F6B}"/>
    <hyperlink ref="H33" r:id="rId14" xr:uid="{46A92CAF-C956-4695-B972-FFC97E4385FA}"/>
    <hyperlink ref="H5" r:id="rId15" xr:uid="{9FD0B08F-1502-483B-8C04-E9CF4B13F782}"/>
    <hyperlink ref="H34" r:id="rId16" xr:uid="{D9C934B0-F01E-420A-97F8-650E4E66BCCF}"/>
    <hyperlink ref="H4" r:id="rId17" xr:uid="{00436FE5-9752-4131-A8C3-CFC436D099BC}"/>
    <hyperlink ref="H19" r:id="rId18" xr:uid="{D3D4DCBC-FFF6-44CC-8D73-2CB1E1C8C694}"/>
    <hyperlink ref="H22" r:id="rId19" xr:uid="{B2385BC4-D112-4B7F-839A-603A254A43F0}"/>
    <hyperlink ref="H36" r:id="rId20" xr:uid="{FEA9EA30-31FC-4CB9-A59E-D3790D4B9125}"/>
    <hyperlink ref="H6" r:id="rId21" xr:uid="{D52E460C-821D-43B5-BEC2-0F2202E2811E}"/>
    <hyperlink ref="H24" r:id="rId22" xr:uid="{93AF1CBA-5A29-49C4-961B-058918321077}"/>
    <hyperlink ref="H25" r:id="rId23" xr:uid="{699F0E51-ED76-4C7D-AB27-8DEEB5051BC6}"/>
    <hyperlink ref="H26" r:id="rId24" xr:uid="{3982880A-20CC-4FB7-A397-282CF5D1D717}"/>
    <hyperlink ref="H45" r:id="rId25" xr:uid="{6080693F-120E-4715-8D12-B5B5F012F833}"/>
    <hyperlink ref="H37" r:id="rId26" xr:uid="{04DB8F83-4769-4152-B3BB-25685615B219}"/>
    <hyperlink ref="H38" r:id="rId27" xr:uid="{D84D05A2-60C1-4526-9FDD-940941260BB3}"/>
    <hyperlink ref="H41" r:id="rId28" xr:uid="{03FFDA62-424C-40BC-B69E-D70A348E964B}"/>
    <hyperlink ref="H44" r:id="rId29" xr:uid="{2BFEFCB9-16A4-4062-9086-24207DF1E672}"/>
    <hyperlink ref="H42" r:id="rId30" xr:uid="{BFD479BC-2DE6-4C25-9B38-C33C2121B451}"/>
    <hyperlink ref="H40" r:id="rId31" xr:uid="{F5E7EC34-88AE-43CB-909E-B1C818DA60F0}"/>
    <hyperlink ref="H39" r:id="rId32" xr:uid="{C68A528B-3D60-4319-A171-82A51587F26C}"/>
    <hyperlink ref="G54" r:id="rId33" xr:uid="{6D82A16C-EB24-4B4E-B541-82B6E2897EB1}"/>
    <hyperlink ref="H51" r:id="rId34" xr:uid="{5E3A5892-699A-4F30-9BF7-10AFDD37201F}"/>
    <hyperlink ref="H49" r:id="rId35" xr:uid="{E9133C06-9005-4024-8353-99CCA65696E9}"/>
    <hyperlink ref="H58" r:id="rId36" xr:uid="{2F981796-6400-4273-A7E3-0E70C3AD8AA3}"/>
    <hyperlink ref="H59" r:id="rId37" xr:uid="{2B22F4BB-CFA9-4360-9E97-B2286B08BDF1}"/>
    <hyperlink ref="H53" r:id="rId38" xr:uid="{E28955E6-9C07-449E-8F6D-072027010292}"/>
    <hyperlink ref="H47" r:id="rId39" xr:uid="{F41B9361-128B-4AC6-BBC2-511A8DE7D9E4}"/>
    <hyperlink ref="H57" r:id="rId40" xr:uid="{4D701825-1761-444B-9A83-8FEAE285B0C4}"/>
    <hyperlink ref="H60" r:id="rId41" xr:uid="{ED0A3551-6E99-4963-AC93-17157BD23A28}"/>
    <hyperlink ref="H64" r:id="rId42" xr:uid="{80C512D6-D5ED-4719-8539-77AF4F4D8F47}"/>
    <hyperlink ref="H76" r:id="rId43" xr:uid="{79D45B48-58E5-44BB-924B-D6B99BC16132}"/>
    <hyperlink ref="H77" r:id="rId44" xr:uid="{A081D8B6-14B9-488E-88FF-04D9711FB505}"/>
    <hyperlink ref="H56" r:id="rId45" xr:uid="{2791E818-9F14-4142-BE8D-679B83E9848E}"/>
    <hyperlink ref="H52" r:id="rId46" xr:uid="{99632896-C9CC-4A68-9C9E-06D2F60B65CB}"/>
    <hyperlink ref="H63" r:id="rId47" xr:uid="{F0B541E9-3C4D-4CE4-B073-C1112AE93A79}"/>
    <hyperlink ref="H68" r:id="rId48" xr:uid="{B3413BA8-B18B-4E0C-B2DE-1B4AC90038DC}"/>
    <hyperlink ref="H73" r:id="rId49" xr:uid="{9F922472-54DF-4779-AFA9-8725C5E5B914}"/>
    <hyperlink ref="H70" r:id="rId50" xr:uid="{359BA282-A397-4B23-8A61-73691E030FE2}"/>
    <hyperlink ref="H74" r:id="rId51" xr:uid="{9AF26775-25A7-4313-B646-5DC0CF137CF2}"/>
    <hyperlink ref="H75" r:id="rId52" xr:uid="{8C2BF0D5-66F3-4487-A304-F550F695FB55}"/>
    <hyperlink ref="H48" r:id="rId53" xr:uid="{02FAF13B-7044-48D3-A3E8-D7DF7CFC7FD9}"/>
    <hyperlink ref="H82" r:id="rId54" xr:uid="{34175F57-D35F-418B-8592-16D35982B1D4}"/>
    <hyperlink ref="H100" r:id="rId55" xr:uid="{CFACF488-DE39-4C96-8AA4-5CC8A4FD6B6D}"/>
    <hyperlink ref="H87" r:id="rId56" xr:uid="{8D12DB54-4530-477F-BCBB-A5CAA2656DC9}"/>
    <hyperlink ref="H153" r:id="rId57" xr:uid="{ADEB939B-E553-48F9-A7A0-3D593C417D6B}"/>
    <hyperlink ref="H94" r:id="rId58" xr:uid="{7C3B52B1-4305-4336-9846-15738726DFA6}"/>
    <hyperlink ref="H102" r:id="rId59" xr:uid="{ED6DC710-99CF-4F01-9739-2F52BF5A2E55}"/>
    <hyperlink ref="H83" r:id="rId60" xr:uid="{6F768C67-854B-471F-8FF4-14928FC18A7F}"/>
    <hyperlink ref="H93" r:id="rId61" xr:uid="{C2EEA680-2934-4B5E-B461-B3DD6628F433}"/>
    <hyperlink ref="H89" r:id="rId62" xr:uid="{F166B7F3-2805-476E-995B-2AD2DC33ED69}"/>
    <hyperlink ref="H72" r:id="rId63" xr:uid="{087A3A49-8EDE-4E16-BFCE-F92EBDC51E97}"/>
    <hyperlink ref="H103" r:id="rId64" xr:uid="{9F20AA5C-FB09-4CD2-B0EE-8F5FF74B4457}"/>
    <hyperlink ref="H96" r:id="rId65" xr:uid="{0E6A6AA6-F075-4FFA-A03E-99C117F02DFD}"/>
    <hyperlink ref="H50" r:id="rId66" xr:uid="{97D95948-5B0D-44C7-961D-295C0E1F25CA}"/>
    <hyperlink ref="H16" r:id="rId67" xr:uid="{ACC6389F-8BA6-48B3-8279-46598DA08F21}"/>
    <hyperlink ref="H18" r:id="rId68" xr:uid="{C28A0A70-2B1B-4DE6-9A71-D8A81B6410AA}"/>
    <hyperlink ref="H23" r:id="rId69" xr:uid="{6D39BC82-76B4-497C-BCBD-B9A9C90499B4}"/>
    <hyperlink ref="H46" r:id="rId70" xr:uid="{F953E2C1-486F-4823-A401-7482621FE289}"/>
    <hyperlink ref="H78" r:id="rId71" xr:uid="{B2BC76E1-6E08-4E8B-AFDD-9E4607E153FA}"/>
    <hyperlink ref="H79" r:id="rId72" xr:uid="{FF378733-B38C-4589-9755-33471FFEFC76}"/>
    <hyperlink ref="H80" r:id="rId73" xr:uid="{8D4FE861-F122-451A-A288-5AE831B6DC9B}"/>
    <hyperlink ref="H81" r:id="rId74" xr:uid="{513971F9-F4DC-4807-A919-3098DAF28063}"/>
    <hyperlink ref="H86" r:id="rId75" xr:uid="{D269A3BA-D6E9-4D22-8D9E-05C824499D94}"/>
    <hyperlink ref="H90" r:id="rId76" xr:uid="{8930E544-A4C5-4955-9688-E69C0146E0A2}"/>
    <hyperlink ref="H91" r:id="rId77" xr:uid="{BFF1A658-84EF-46D4-B1B2-51F7552FD16F}"/>
    <hyperlink ref="H97" r:id="rId78" xr:uid="{1E02C8C7-3878-4008-A126-F4E29269FDCE}"/>
    <hyperlink ref="H98" r:id="rId79" xr:uid="{8B016B27-6496-457D-BEFF-83C16BC8BBF2}"/>
    <hyperlink ref="H99" r:id="rId80" xr:uid="{45F948C2-7E1F-4EC2-BDBB-C528CD4383BB}"/>
    <hyperlink ref="H101" r:id="rId81" xr:uid="{208DA9B1-B1C5-4736-A3D2-4296627CDB54}"/>
    <hyperlink ref="H31" r:id="rId82" xr:uid="{33F2F428-931F-4F8A-BB31-9BFC0ACEF0CF}"/>
    <hyperlink ref="H105" r:id="rId83" xr:uid="{4E3CE206-6973-4F2C-B165-1A083C416183}"/>
    <hyperlink ref="H104" r:id="rId84" xr:uid="{A175F3D2-E7BC-4461-B747-879CB823C9AC}"/>
    <hyperlink ref="H108" r:id="rId85" xr:uid="{7F3262DE-36E5-4AA6-BE8A-19A867AB7EDA}"/>
    <hyperlink ref="H107" r:id="rId86" xr:uid="{484D3093-8290-440C-BB9B-7754D39D0887}"/>
    <hyperlink ref="H116" r:id="rId87" xr:uid="{8D0993D9-9808-41A2-B272-FE2066713C58}"/>
    <hyperlink ref="H114" r:id="rId88" xr:uid="{46B7E275-E82A-4CED-AE7A-3695CBAEDA3F}"/>
    <hyperlink ref="H115" r:id="rId89" xr:uid="{C1846273-346D-40B1-8028-7402CBA1DDB5}"/>
    <hyperlink ref="H92" r:id="rId90" xr:uid="{4BCA1C64-70D2-42B9-A99D-DE5B41E9FF07}"/>
    <hyperlink ref="H20" r:id="rId91" xr:uid="{A7D704C2-A99E-46AB-AF7A-A0B99E9A584E}"/>
    <hyperlink ref="H54" r:id="rId92" xr:uid="{E0E68380-FDA8-42B0-A57A-7292EF24F773}"/>
    <hyperlink ref="H61" r:id="rId93" xr:uid="{FFC05489-FDB9-4CAF-9D35-52F83C4623F0}"/>
    <hyperlink ref="H110" r:id="rId94" xr:uid="{D1A00754-7301-49F0-BF35-45A5F1D6E156}"/>
    <hyperlink ref="H62" r:id="rId95" xr:uid="{2721440A-662E-4218-A358-9A5912A01BFC}"/>
    <hyperlink ref="H65" r:id="rId96" xr:uid="{0BBD6DB1-8C41-4E1D-9B5A-D9E23E69BFC8}"/>
    <hyperlink ref="H35" r:id="rId97" xr:uid="{E90F679B-4BE7-47BC-B430-A3F5DD70DCF5}"/>
    <hyperlink ref="H120" r:id="rId98" xr:uid="{E124CE54-3408-45FE-8CFA-9A3EFD855A06}"/>
    <hyperlink ref="H106" r:id="rId99" xr:uid="{9FC7F31C-06EB-4C67-B10C-F8D094BAC215}"/>
    <hyperlink ref="H119" r:id="rId100" xr:uid="{84D8F6F6-0C4F-474C-9459-05D2ED143E96}"/>
    <hyperlink ref="H113" r:id="rId101" xr:uid="{5740A795-BFB0-405D-A6EC-1BB69803F25A}"/>
    <hyperlink ref="H43" r:id="rId102" xr:uid="{937F47CD-B378-4AD5-A800-3D5BF2395030}"/>
    <hyperlink ref="H66" r:id="rId103" xr:uid="{864CB1DA-5E6C-4057-A97C-9FFEDC45F845}"/>
    <hyperlink ref="H67" r:id="rId104" xr:uid="{3FF4BF52-57D0-48C2-BD11-B9B32C08FB81}"/>
    <hyperlink ref="H69" r:id="rId105" xr:uid="{6D75A8DE-3035-410A-8CC0-69E2971331B2}"/>
    <hyperlink ref="H85" r:id="rId106" xr:uid="{5CB9D7AE-CFF0-46BA-9A44-7B593D6E75AB}"/>
    <hyperlink ref="H95" r:id="rId107" xr:uid="{FF2AF594-18C3-49E6-984E-3EA92203C8B2}"/>
    <hyperlink ref="H118" r:id="rId108" xr:uid="{F9D3D727-FAD2-43DE-8EF3-044F8BF09D3E}"/>
    <hyperlink ref="H121" r:id="rId109" xr:uid="{6A42F00E-9F5F-46B4-864B-2E01999F0FF9}"/>
    <hyperlink ref="H124" r:id="rId110" xr:uid="{724A89AE-54C5-40E2-B75A-E09EE7F6FEF3}"/>
    <hyperlink ref="H117" r:id="rId111" xr:uid="{1C4A5412-1D60-4D00-8254-517FB7888331}"/>
    <hyperlink ref="H126" r:id="rId112" xr:uid="{26EDB550-0AF8-4284-8A24-D72A3CA3454D}"/>
    <hyperlink ref="H123" r:id="rId113" xr:uid="{31596ABA-63B0-4F8D-B6C9-87B19DB23861}"/>
    <hyperlink ref="H125" r:id="rId114" xr:uid="{1A66AC5F-EDBC-4CB2-974D-AA1DD1D8CEA0}"/>
    <hyperlink ref="H109" r:id="rId115" xr:uid="{B547396E-45C9-446D-8B08-070006882B5C}"/>
    <hyperlink ref="H127" r:id="rId116" xr:uid="{B332872C-DB12-46A0-8D8C-D896B24DC39D}"/>
    <hyperlink ref="H7" r:id="rId117" xr:uid="{AA1E8C72-97E1-482F-B1CD-6B010557A320}"/>
    <hyperlink ref="H131" r:id="rId118" xr:uid="{5A0CFFFD-B8A5-4839-B0E9-67B6553DA4F9}"/>
    <hyperlink ref="H128" r:id="rId119" xr:uid="{5A7CD60C-2D10-4950-B2A2-728040D94537}"/>
    <hyperlink ref="H130" r:id="rId120" xr:uid="{378FF58D-9465-4A62-87DB-97A77DADC1E2}"/>
    <hyperlink ref="H129" r:id="rId121" xr:uid="{B95CB7BE-17E4-4062-AA8B-9AFD813D5942}"/>
    <hyperlink ref="H112" r:id="rId122" xr:uid="{0048A9BA-4DA5-4046-A99F-D9151EB2DCFB}"/>
    <hyperlink ref="H71" r:id="rId123" xr:uid="{1E346FAC-96EB-4EFF-B260-D31120C5CD57}"/>
    <hyperlink ref="H133" r:id="rId124" display="mailto:uspaiglasses@126.com" xr:uid="{AC18463B-4DAF-458D-9B8F-D0D4AD577162}"/>
    <hyperlink ref="H134" r:id="rId125" xr:uid="{AF6A0B41-6303-49F5-BCEA-9C7D559E6E23}"/>
    <hyperlink ref="H84" r:id="rId126" xr:uid="{CDB8D162-2EF1-4DA9-8963-500D95FD187E}"/>
    <hyperlink ref="H132" r:id="rId127" xr:uid="{DF5B5045-1699-4CB5-8FF2-67D4A23B3A0F}"/>
    <hyperlink ref="H135" r:id="rId128" xr:uid="{2B92508F-F145-4B12-A26B-1CA5A32C88F3}"/>
    <hyperlink ref="H137" r:id="rId129" xr:uid="{3EFD3062-F129-4AA0-947E-870D65213F60}"/>
    <hyperlink ref="H139" r:id="rId130" xr:uid="{BC4FC0A1-34CE-47AF-9AE4-0C5205766D6A}"/>
    <hyperlink ref="H29" r:id="rId131" xr:uid="{C1D17564-1701-458F-9DA3-4AD0AF33D2B8}"/>
    <hyperlink ref="H138" r:id="rId132" xr:uid="{81B3F542-AC3B-4B24-8242-D9DE30D411D5}"/>
    <hyperlink ref="H136" r:id="rId133" xr:uid="{402D7C84-5907-4DA2-BDA0-EE48AD1F0637}"/>
    <hyperlink ref="H141" r:id="rId134" xr:uid="{B31FCD32-A888-481D-B0E5-348AF0D112C1}"/>
    <hyperlink ref="H140" r:id="rId135" xr:uid="{F1739A7B-2D52-45CA-8DFB-F04C87E80EB2}"/>
    <hyperlink ref="H143" r:id="rId136" xr:uid="{FFC193CD-6B99-4BBB-B91E-320982094704}"/>
    <hyperlink ref="H144" r:id="rId137" xr:uid="{7C42196D-DD33-4C21-8126-CFFB5DB9D75B}"/>
    <hyperlink ref="H146" r:id="rId138" xr:uid="{45491F66-2328-4F5D-9B61-5B75E565BA06}"/>
    <hyperlink ref="H145" r:id="rId139" xr:uid="{8CFF029C-2226-40B7-9221-7E150F44DD41}"/>
    <hyperlink ref="H142" r:id="rId140" xr:uid="{D4396DFE-4FEE-40D5-87B5-1C578E34693A}"/>
    <hyperlink ref="H151" r:id="rId141" xr:uid="{4BD33704-C975-4FD7-8AEF-EC0B95774F73}"/>
    <hyperlink ref="H148" r:id="rId142" xr:uid="{30C9E330-0BA2-4113-9C43-BD8EA2055157}"/>
    <hyperlink ref="H150" r:id="rId143" xr:uid="{38C6DF5D-5A22-45A4-B8F3-B21469A95A2F}"/>
    <hyperlink ref="H149" r:id="rId144" xr:uid="{2715C349-8DE7-459C-AC90-E109BCADD53C}"/>
    <hyperlink ref="H147" r:id="rId145" xr:uid="{4DC3FC2D-B308-4AA6-924F-8351E5BBED4B}"/>
    <hyperlink ref="H111" r:id="rId146" xr:uid="{070A5FBD-CBF5-48F1-9F7A-8A1C77168F85}"/>
    <hyperlink ref="H154" r:id="rId147" xr:uid="{3BB8AB70-F35C-4275-87FA-EAFDF4806220}"/>
    <hyperlink ref="H157" r:id="rId148" xr:uid="{48D674F3-B18D-4A58-A707-5B380F51752E}"/>
    <hyperlink ref="H156" r:id="rId149" xr:uid="{9AEF9692-4E6D-46B5-A89A-D39E23F63101}"/>
    <hyperlink ref="H55" r:id="rId150" xr:uid="{5FC40509-896D-4289-845F-F9EB5278A90F}"/>
    <hyperlink ref="H152" r:id="rId151" xr:uid="{85ECE365-31DC-4C03-B4B0-6C94E12E2166}"/>
    <hyperlink ref="H155" r:id="rId152" xr:uid="{49FE2C62-BB2A-4355-8E84-861019710027}"/>
    <hyperlink ref="H159" r:id="rId153" xr:uid="{2B1BC5D4-E900-4801-B565-ED0611783250}"/>
    <hyperlink ref="H161" r:id="rId154" xr:uid="{864B761F-290C-4ACF-B2A2-B076C3E0BFF5}"/>
    <hyperlink ref="H160" r:id="rId155" xr:uid="{6E9BE63E-A450-482F-A12E-F51EA123A942}"/>
    <hyperlink ref="H162" r:id="rId156" xr:uid="{B3938254-F395-489F-AB12-30C3806947B7}"/>
    <hyperlink ref="H163" r:id="rId157" xr:uid="{1CCFE76C-A0C7-4D82-BEF8-191686B067E3}"/>
    <hyperlink ref="H165" r:id="rId158" xr:uid="{1B5119CB-F87E-4F99-8B59-899E9F1C938B}"/>
    <hyperlink ref="H168" r:id="rId159" xr:uid="{3A5A8DDA-A8DF-4847-8062-CA888DB37EB9}"/>
    <hyperlink ref="H169" r:id="rId160" xr:uid="{C44B1C86-720C-4268-AB0A-480466D088C4}"/>
    <hyperlink ref="H170" r:id="rId161" xr:uid="{D5971113-AFEA-4B4C-86C4-1C54377418C6}"/>
    <hyperlink ref="H171" r:id="rId162" xr:uid="{D3EB95D2-42AF-47EE-9E72-512ED9F7DA3E}"/>
    <hyperlink ref="H173" r:id="rId163" xr:uid="{5768C24E-CC00-43EB-A5E7-A3007D809551}"/>
    <hyperlink ref="H174" r:id="rId164" xr:uid="{157A7082-0212-4665-846F-18C0CE37641C}"/>
  </hyperlinks>
  <pageMargins left="0.7" right="0.7" top="0.75" bottom="0.75" header="0.3" footer="0.3"/>
  <legacyDrawing r:id="rId165"/>
  <tableParts count="1">
    <tablePart r:id="rId16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85BC-AEA1-4226-817E-1DF45BBDEFC6}">
  <sheetPr codeName="Sheet5"/>
  <dimension ref="A1"/>
  <sheetViews>
    <sheetView workbookViewId="0">
      <selection activeCell="E33" sqref="E33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D7C9-4CA6-4DF1-BC2E-C83C936EFE7A}">
  <sheetPr codeName="Sheet6" filterMode="1"/>
  <dimension ref="A1:B173"/>
  <sheetViews>
    <sheetView workbookViewId="0">
      <selection activeCell="E172" sqref="E172"/>
    </sheetView>
  </sheetViews>
  <sheetFormatPr defaultRowHeight="14.25" x14ac:dyDescent="0.2"/>
  <sheetData>
    <row r="1" spans="1:2" x14ac:dyDescent="0.2">
      <c r="A1" s="63" t="s">
        <v>164</v>
      </c>
    </row>
    <row r="2" spans="1:2" hidden="1" x14ac:dyDescent="0.2">
      <c r="A2" s="64" t="s">
        <v>4</v>
      </c>
      <c r="B2" t="e">
        <f>VLOOKUP(A:A,Bat!A:A,1,0)</f>
        <v>#N/A</v>
      </c>
    </row>
    <row r="3" spans="1:2" hidden="1" x14ac:dyDescent="0.2">
      <c r="A3" s="11" t="s">
        <v>5</v>
      </c>
      <c r="B3" t="e">
        <f>VLOOKUP(A:A,Bat!A:A,1,0)</f>
        <v>#N/A</v>
      </c>
    </row>
    <row r="4" spans="1:2" hidden="1" x14ac:dyDescent="0.2">
      <c r="A4" s="64" t="s">
        <v>6</v>
      </c>
      <c r="B4" t="e">
        <f>VLOOKUP(A:A,Bat!A:A,1,0)</f>
        <v>#N/A</v>
      </c>
    </row>
    <row r="5" spans="1:2" hidden="1" x14ac:dyDescent="0.2">
      <c r="A5" s="11" t="s">
        <v>7</v>
      </c>
      <c r="B5" t="e">
        <f>VLOOKUP(A:A,Bat!A:A,1,0)</f>
        <v>#N/A</v>
      </c>
    </row>
    <row r="6" spans="1:2" hidden="1" x14ac:dyDescent="0.2">
      <c r="A6" s="64" t="s">
        <v>8</v>
      </c>
      <c r="B6" t="e">
        <f>VLOOKUP(A:A,Bat!A:A,1,0)</f>
        <v>#N/A</v>
      </c>
    </row>
    <row r="7" spans="1:2" hidden="1" x14ac:dyDescent="0.2">
      <c r="A7" s="11" t="s">
        <v>9</v>
      </c>
      <c r="B7" t="e">
        <f>VLOOKUP(A:A,Bat!A:A,1,0)</f>
        <v>#N/A</v>
      </c>
    </row>
    <row r="8" spans="1:2" hidden="1" x14ac:dyDescent="0.2">
      <c r="A8" s="64" t="s">
        <v>10</v>
      </c>
      <c r="B8" t="e">
        <f>VLOOKUP(A:A,Bat!A:A,1,0)</f>
        <v>#N/A</v>
      </c>
    </row>
    <row r="9" spans="1:2" hidden="1" x14ac:dyDescent="0.2">
      <c r="A9" s="11" t="s">
        <v>11</v>
      </c>
      <c r="B9" t="e">
        <f>VLOOKUP(A:A,Bat!A:A,1,0)</f>
        <v>#N/A</v>
      </c>
    </row>
    <row r="10" spans="1:2" hidden="1" x14ac:dyDescent="0.2">
      <c r="A10" s="64" t="s">
        <v>12</v>
      </c>
      <c r="B10" t="e">
        <f>VLOOKUP(A:A,Bat!A:A,1,0)</f>
        <v>#N/A</v>
      </c>
    </row>
    <row r="11" spans="1:2" hidden="1" x14ac:dyDescent="0.2">
      <c r="A11" s="11" t="s">
        <v>13</v>
      </c>
      <c r="B11" t="e">
        <f>VLOOKUP(A:A,Bat!A:A,1,0)</f>
        <v>#N/A</v>
      </c>
    </row>
    <row r="12" spans="1:2" hidden="1" x14ac:dyDescent="0.2">
      <c r="A12" s="64" t="s">
        <v>14</v>
      </c>
      <c r="B12" t="e">
        <f>VLOOKUP(A:A,Bat!A:A,1,0)</f>
        <v>#N/A</v>
      </c>
    </row>
    <row r="13" spans="1:2" hidden="1" x14ac:dyDescent="0.2">
      <c r="A13" s="11" t="s">
        <v>15</v>
      </c>
      <c r="B13" t="e">
        <f>VLOOKUP(A:A,Bat!A:A,1,0)</f>
        <v>#N/A</v>
      </c>
    </row>
    <row r="14" spans="1:2" hidden="1" x14ac:dyDescent="0.2">
      <c r="A14" s="64" t="s">
        <v>16</v>
      </c>
      <c r="B14" t="e">
        <f>VLOOKUP(A:A,Bat!A:A,1,0)</f>
        <v>#N/A</v>
      </c>
    </row>
    <row r="15" spans="1:2" hidden="1" x14ac:dyDescent="0.2">
      <c r="A15" s="11" t="s">
        <v>17</v>
      </c>
      <c r="B15" t="e">
        <f>VLOOKUP(A:A,Bat!A:A,1,0)</f>
        <v>#N/A</v>
      </c>
    </row>
    <row r="16" spans="1:2" hidden="1" x14ac:dyDescent="0.2">
      <c r="A16" s="64" t="s">
        <v>18</v>
      </c>
      <c r="B16" t="e">
        <f>VLOOKUP(A:A,Bat!A:A,1,0)</f>
        <v>#N/A</v>
      </c>
    </row>
    <row r="17" spans="1:2" hidden="1" x14ac:dyDescent="0.2">
      <c r="A17" s="11" t="s">
        <v>19</v>
      </c>
      <c r="B17" t="e">
        <f>VLOOKUP(A:A,Bat!A:A,1,0)</f>
        <v>#N/A</v>
      </c>
    </row>
    <row r="18" spans="1:2" hidden="1" x14ac:dyDescent="0.2">
      <c r="A18" s="64" t="s">
        <v>20</v>
      </c>
      <c r="B18" t="e">
        <f>VLOOKUP(A:A,Bat!A:A,1,0)</f>
        <v>#N/A</v>
      </c>
    </row>
    <row r="19" spans="1:2" hidden="1" x14ac:dyDescent="0.2">
      <c r="A19" s="11" t="s">
        <v>21</v>
      </c>
      <c r="B19" t="e">
        <f>VLOOKUP(A:A,Bat!A:A,1,0)</f>
        <v>#N/A</v>
      </c>
    </row>
    <row r="20" spans="1:2" hidden="1" x14ac:dyDescent="0.2">
      <c r="A20" s="64" t="s">
        <v>22</v>
      </c>
      <c r="B20" t="e">
        <f>VLOOKUP(A:A,Bat!A:A,1,0)</f>
        <v>#N/A</v>
      </c>
    </row>
    <row r="21" spans="1:2" hidden="1" x14ac:dyDescent="0.2">
      <c r="A21" s="11" t="s">
        <v>23</v>
      </c>
      <c r="B21" t="e">
        <f>VLOOKUP(A:A,Bat!A:A,1,0)</f>
        <v>#N/A</v>
      </c>
    </row>
    <row r="22" spans="1:2" hidden="1" x14ac:dyDescent="0.2">
      <c r="A22" s="64" t="s">
        <v>24</v>
      </c>
      <c r="B22" t="e">
        <f>VLOOKUP(A:A,Bat!A:A,1,0)</f>
        <v>#N/A</v>
      </c>
    </row>
    <row r="23" spans="1:2" hidden="1" x14ac:dyDescent="0.2">
      <c r="A23" s="11" t="s">
        <v>25</v>
      </c>
      <c r="B23" t="e">
        <f>VLOOKUP(A:A,Bat!A:A,1,0)</f>
        <v>#N/A</v>
      </c>
    </row>
    <row r="24" spans="1:2" hidden="1" x14ac:dyDescent="0.2">
      <c r="A24" s="64" t="s">
        <v>26</v>
      </c>
      <c r="B24" t="e">
        <f>VLOOKUP(A:A,Bat!A:A,1,0)</f>
        <v>#N/A</v>
      </c>
    </row>
    <row r="25" spans="1:2" hidden="1" x14ac:dyDescent="0.2">
      <c r="A25" s="11" t="s">
        <v>27</v>
      </c>
      <c r="B25" t="e">
        <f>VLOOKUP(A:A,Bat!A:A,1,0)</f>
        <v>#N/A</v>
      </c>
    </row>
    <row r="26" spans="1:2" hidden="1" x14ac:dyDescent="0.2">
      <c r="A26" s="64" t="s">
        <v>28</v>
      </c>
      <c r="B26" t="e">
        <f>VLOOKUP(A:A,Bat!A:A,1,0)</f>
        <v>#N/A</v>
      </c>
    </row>
    <row r="27" spans="1:2" hidden="1" x14ac:dyDescent="0.2">
      <c r="A27" s="11" t="s">
        <v>29</v>
      </c>
      <c r="B27" t="e">
        <f>VLOOKUP(A:A,Bat!A:A,1,0)</f>
        <v>#N/A</v>
      </c>
    </row>
    <row r="28" spans="1:2" hidden="1" x14ac:dyDescent="0.2">
      <c r="A28" s="64" t="s">
        <v>30</v>
      </c>
      <c r="B28" t="e">
        <f>VLOOKUP(A:A,Bat!A:A,1,0)</f>
        <v>#N/A</v>
      </c>
    </row>
    <row r="29" spans="1:2" hidden="1" x14ac:dyDescent="0.2">
      <c r="A29" s="11" t="s">
        <v>31</v>
      </c>
      <c r="B29" t="e">
        <f>VLOOKUP(A:A,Bat!A:A,1,0)</f>
        <v>#N/A</v>
      </c>
    </row>
    <row r="30" spans="1:2" hidden="1" x14ac:dyDescent="0.2">
      <c r="A30" s="64" t="s">
        <v>32</v>
      </c>
      <c r="B30" t="e">
        <f>VLOOKUP(A:A,Bat!A:A,1,0)</f>
        <v>#N/A</v>
      </c>
    </row>
    <row r="31" spans="1:2" hidden="1" x14ac:dyDescent="0.2">
      <c r="A31" s="11" t="s">
        <v>33</v>
      </c>
      <c r="B31" t="e">
        <f>VLOOKUP(A:A,Bat!A:A,1,0)</f>
        <v>#N/A</v>
      </c>
    </row>
    <row r="32" spans="1:2" hidden="1" x14ac:dyDescent="0.2">
      <c r="A32" s="64" t="s">
        <v>34</v>
      </c>
      <c r="B32" t="e">
        <f>VLOOKUP(A:A,Bat!A:A,1,0)</f>
        <v>#N/A</v>
      </c>
    </row>
    <row r="33" spans="1:2" hidden="1" x14ac:dyDescent="0.2">
      <c r="A33" s="11" t="s">
        <v>35</v>
      </c>
      <c r="B33" t="e">
        <f>VLOOKUP(A:A,Bat!A:A,1,0)</f>
        <v>#N/A</v>
      </c>
    </row>
    <row r="34" spans="1:2" hidden="1" x14ac:dyDescent="0.2">
      <c r="A34" s="64" t="s">
        <v>36</v>
      </c>
      <c r="B34" t="e">
        <f>VLOOKUP(A:A,Bat!A:A,1,0)</f>
        <v>#N/A</v>
      </c>
    </row>
    <row r="35" spans="1:2" hidden="1" x14ac:dyDescent="0.2">
      <c r="A35" s="4" t="s">
        <v>37</v>
      </c>
      <c r="B35" t="e">
        <f>VLOOKUP(A:A,Bat!A:A,1,0)</f>
        <v>#N/A</v>
      </c>
    </row>
    <row r="36" spans="1:2" hidden="1" x14ac:dyDescent="0.2">
      <c r="A36" s="64" t="s">
        <v>38</v>
      </c>
      <c r="B36" t="e">
        <f>VLOOKUP(A:A,Bat!A:A,1,0)</f>
        <v>#N/A</v>
      </c>
    </row>
    <row r="37" spans="1:2" hidden="1" x14ac:dyDescent="0.2">
      <c r="A37" s="11" t="s">
        <v>39</v>
      </c>
      <c r="B37" t="e">
        <f>VLOOKUP(A:A,Bat!A:A,1,0)</f>
        <v>#N/A</v>
      </c>
    </row>
    <row r="38" spans="1:2" hidden="1" x14ac:dyDescent="0.2">
      <c r="A38" s="64" t="s">
        <v>40</v>
      </c>
      <c r="B38" t="e">
        <f>VLOOKUP(A:A,Bat!A:A,1,0)</f>
        <v>#N/A</v>
      </c>
    </row>
    <row r="39" spans="1:2" hidden="1" x14ac:dyDescent="0.2">
      <c r="A39" s="11" t="s">
        <v>41</v>
      </c>
      <c r="B39" t="e">
        <f>VLOOKUP(A:A,Bat!A:A,1,0)</f>
        <v>#N/A</v>
      </c>
    </row>
    <row r="40" spans="1:2" hidden="1" x14ac:dyDescent="0.2">
      <c r="A40" s="64" t="s">
        <v>42</v>
      </c>
      <c r="B40" t="e">
        <f>VLOOKUP(A:A,Bat!A:A,1,0)</f>
        <v>#N/A</v>
      </c>
    </row>
    <row r="41" spans="1:2" hidden="1" x14ac:dyDescent="0.2">
      <c r="A41" s="11" t="s">
        <v>43</v>
      </c>
      <c r="B41" t="e">
        <f>VLOOKUP(A:A,Bat!A:A,1,0)</f>
        <v>#N/A</v>
      </c>
    </row>
    <row r="42" spans="1:2" hidden="1" x14ac:dyDescent="0.2">
      <c r="A42" s="64" t="s">
        <v>44</v>
      </c>
      <c r="B42" t="e">
        <f>VLOOKUP(A:A,Bat!A:A,1,0)</f>
        <v>#N/A</v>
      </c>
    </row>
    <row r="43" spans="1:2" hidden="1" x14ac:dyDescent="0.2">
      <c r="A43" s="11" t="s">
        <v>45</v>
      </c>
      <c r="B43" t="e">
        <f>VLOOKUP(A:A,Bat!A:A,1,0)</f>
        <v>#N/A</v>
      </c>
    </row>
    <row r="44" spans="1:2" hidden="1" x14ac:dyDescent="0.2">
      <c r="A44" s="64" t="s">
        <v>46</v>
      </c>
      <c r="B44" t="e">
        <f>VLOOKUP(A:A,Bat!A:A,1,0)</f>
        <v>#N/A</v>
      </c>
    </row>
    <row r="45" spans="1:2" hidden="1" x14ac:dyDescent="0.2">
      <c r="A45" s="28" t="s">
        <v>47</v>
      </c>
      <c r="B45" t="e">
        <f>VLOOKUP(A:A,Bat!A:A,1,0)</f>
        <v>#N/A</v>
      </c>
    </row>
    <row r="46" spans="1:2" hidden="1" x14ac:dyDescent="0.2">
      <c r="A46" s="64" t="s">
        <v>48</v>
      </c>
      <c r="B46" t="e">
        <f>VLOOKUP(A:A,Bat!A:A,1,0)</f>
        <v>#N/A</v>
      </c>
    </row>
    <row r="47" spans="1:2" x14ac:dyDescent="0.2">
      <c r="A47" s="28" t="s">
        <v>679</v>
      </c>
      <c r="B47" s="48" t="e">
        <f>VLOOKUP(A:A,Bat!A:A,1,0)</f>
        <v>#N/A</v>
      </c>
    </row>
    <row r="48" spans="1:2" hidden="1" x14ac:dyDescent="0.2">
      <c r="A48" s="64" t="s">
        <v>49</v>
      </c>
      <c r="B48" t="e">
        <f>VLOOKUP(A:A,Bat!A:A,1,0)</f>
        <v>#N/A</v>
      </c>
    </row>
    <row r="49" spans="1:2" hidden="1" x14ac:dyDescent="0.2">
      <c r="A49" s="11" t="s">
        <v>50</v>
      </c>
      <c r="B49" t="e">
        <f>VLOOKUP(A:A,Bat!A:A,1,0)</f>
        <v>#N/A</v>
      </c>
    </row>
    <row r="50" spans="1:2" hidden="1" x14ac:dyDescent="0.2">
      <c r="A50" s="64" t="s">
        <v>51</v>
      </c>
      <c r="B50" t="e">
        <f>VLOOKUP(A:A,Bat!A:A,1,0)</f>
        <v>#N/A</v>
      </c>
    </row>
    <row r="51" spans="1:2" hidden="1" x14ac:dyDescent="0.2">
      <c r="A51" s="11" t="s">
        <v>52</v>
      </c>
      <c r="B51" t="e">
        <f>VLOOKUP(A:A,Bat!A:A,1,0)</f>
        <v>#N/A</v>
      </c>
    </row>
    <row r="52" spans="1:2" hidden="1" x14ac:dyDescent="0.2">
      <c r="A52" s="64" t="s">
        <v>53</v>
      </c>
      <c r="B52" t="e">
        <f>VLOOKUP(A:A,Bat!A:A,1,0)</f>
        <v>#N/A</v>
      </c>
    </row>
    <row r="53" spans="1:2" hidden="1" x14ac:dyDescent="0.2">
      <c r="A53" s="11" t="s">
        <v>54</v>
      </c>
      <c r="B53" t="e">
        <f>VLOOKUP(A:A,Bat!A:A,1,0)</f>
        <v>#N/A</v>
      </c>
    </row>
    <row r="54" spans="1:2" hidden="1" x14ac:dyDescent="0.2">
      <c r="A54" s="64" t="s">
        <v>55</v>
      </c>
      <c r="B54" t="e">
        <f>VLOOKUP(A:A,Bat!A:A,1,0)</f>
        <v>#N/A</v>
      </c>
    </row>
    <row r="55" spans="1:2" x14ac:dyDescent="0.2">
      <c r="A55" s="28" t="s">
        <v>680</v>
      </c>
      <c r="B55" s="48" t="e">
        <f>VLOOKUP(A:A,Bat!A:A,1,0)</f>
        <v>#N/A</v>
      </c>
    </row>
    <row r="56" spans="1:2" hidden="1" x14ac:dyDescent="0.2">
      <c r="A56" s="64" t="s">
        <v>56</v>
      </c>
      <c r="B56" t="e">
        <f>VLOOKUP(A:A,Bat!A:A,1,0)</f>
        <v>#N/A</v>
      </c>
    </row>
    <row r="57" spans="1:2" hidden="1" x14ac:dyDescent="0.2">
      <c r="A57" s="11" t="s">
        <v>57</v>
      </c>
      <c r="B57" t="e">
        <f>VLOOKUP(A:A,Bat!A:A,1,0)</f>
        <v>#N/A</v>
      </c>
    </row>
    <row r="58" spans="1:2" hidden="1" x14ac:dyDescent="0.2">
      <c r="A58" s="64" t="s">
        <v>58</v>
      </c>
      <c r="B58" t="e">
        <f>VLOOKUP(A:A,Bat!A:A,1,0)</f>
        <v>#N/A</v>
      </c>
    </row>
    <row r="59" spans="1:2" hidden="1" x14ac:dyDescent="0.2">
      <c r="A59" s="11" t="s">
        <v>59</v>
      </c>
      <c r="B59" t="e">
        <f>VLOOKUP(A:A,Bat!A:A,1,0)</f>
        <v>#N/A</v>
      </c>
    </row>
    <row r="60" spans="1:2" hidden="1" x14ac:dyDescent="0.2">
      <c r="A60" s="64" t="s">
        <v>60</v>
      </c>
      <c r="B60" t="e">
        <f>VLOOKUP(A:A,Bat!A:A,1,0)</f>
        <v>#N/A</v>
      </c>
    </row>
    <row r="61" spans="1:2" hidden="1" x14ac:dyDescent="0.2">
      <c r="A61" s="11" t="s">
        <v>61</v>
      </c>
      <c r="B61" t="e">
        <f>VLOOKUP(A:A,Bat!A:A,1,0)</f>
        <v>#N/A</v>
      </c>
    </row>
    <row r="62" spans="1:2" hidden="1" x14ac:dyDescent="0.2">
      <c r="A62" s="64" t="s">
        <v>62</v>
      </c>
      <c r="B62" t="e">
        <f>VLOOKUP(A:A,Bat!A:A,1,0)</f>
        <v>#N/A</v>
      </c>
    </row>
    <row r="63" spans="1:2" hidden="1" x14ac:dyDescent="0.2">
      <c r="A63" s="11" t="s">
        <v>63</v>
      </c>
      <c r="B63" t="e">
        <f>VLOOKUP(A:A,Bat!A:A,1,0)</f>
        <v>#N/A</v>
      </c>
    </row>
    <row r="64" spans="1:2" hidden="1" x14ac:dyDescent="0.2">
      <c r="A64" s="64" t="s">
        <v>64</v>
      </c>
      <c r="B64" t="e">
        <f>VLOOKUP(A:A,Bat!A:A,1,0)</f>
        <v>#N/A</v>
      </c>
    </row>
    <row r="65" spans="1:2" hidden="1" x14ac:dyDescent="0.2">
      <c r="A65" s="11" t="s">
        <v>65</v>
      </c>
      <c r="B65" t="e">
        <f>VLOOKUP(A:A,Bat!A:A,1,0)</f>
        <v>#N/A</v>
      </c>
    </row>
    <row r="66" spans="1:2" hidden="1" x14ac:dyDescent="0.2">
      <c r="A66" s="64" t="s">
        <v>66</v>
      </c>
      <c r="B66" t="e">
        <f>VLOOKUP(A:A,Bat!A:A,1,0)</f>
        <v>#N/A</v>
      </c>
    </row>
    <row r="67" spans="1:2" hidden="1" x14ac:dyDescent="0.2">
      <c r="A67" s="11" t="s">
        <v>67</v>
      </c>
      <c r="B67" t="e">
        <f>VLOOKUP(A:A,Bat!A:A,1,0)</f>
        <v>#N/A</v>
      </c>
    </row>
    <row r="68" spans="1:2" hidden="1" x14ac:dyDescent="0.2">
      <c r="A68" s="64" t="s">
        <v>68</v>
      </c>
      <c r="B68" t="e">
        <f>VLOOKUP(A:A,Bat!A:A,1,0)</f>
        <v>#N/A</v>
      </c>
    </row>
    <row r="69" spans="1:2" hidden="1" x14ac:dyDescent="0.2">
      <c r="A69" s="11" t="s">
        <v>682</v>
      </c>
      <c r="B69" t="e">
        <f>VLOOKUP(A:A,Bat!A:A,1,0)</f>
        <v>#N/A</v>
      </c>
    </row>
    <row r="70" spans="1:2" hidden="1" x14ac:dyDescent="0.2">
      <c r="A70" s="64" t="s">
        <v>69</v>
      </c>
      <c r="B70" t="e">
        <f>VLOOKUP(A:A,Bat!A:A,1,0)</f>
        <v>#N/A</v>
      </c>
    </row>
    <row r="71" spans="1:2" hidden="1" x14ac:dyDescent="0.2">
      <c r="A71" s="11" t="s">
        <v>70</v>
      </c>
      <c r="B71" t="e">
        <f>VLOOKUP(A:A,Bat!A:A,1,0)</f>
        <v>#N/A</v>
      </c>
    </row>
    <row r="72" spans="1:2" x14ac:dyDescent="0.2">
      <c r="A72" s="75" t="s">
        <v>684</v>
      </c>
      <c r="B72" s="48" t="e">
        <f>VLOOKUP(A:A,Bat!A:A,1,0)</f>
        <v>#N/A</v>
      </c>
    </row>
    <row r="73" spans="1:2" hidden="1" x14ac:dyDescent="0.2">
      <c r="A73" s="11" t="s">
        <v>71</v>
      </c>
      <c r="B73" t="e">
        <f>VLOOKUP(A:A,Bat!A:A,1,0)</f>
        <v>#N/A</v>
      </c>
    </row>
    <row r="74" spans="1:2" hidden="1" x14ac:dyDescent="0.2">
      <c r="A74" s="64" t="s">
        <v>72</v>
      </c>
      <c r="B74" t="e">
        <f>VLOOKUP(A:A,Bat!A:A,1,0)</f>
        <v>#N/A</v>
      </c>
    </row>
    <row r="75" spans="1:2" hidden="1" x14ac:dyDescent="0.2">
      <c r="A75" s="11" t="s">
        <v>73</v>
      </c>
      <c r="B75" t="e">
        <f>VLOOKUP(A:A,Bat!A:A,1,0)</f>
        <v>#N/A</v>
      </c>
    </row>
    <row r="76" spans="1:2" hidden="1" x14ac:dyDescent="0.2">
      <c r="A76" s="64" t="s">
        <v>74</v>
      </c>
      <c r="B76" t="e">
        <f>VLOOKUP(A:A,Bat!A:A,1,0)</f>
        <v>#N/A</v>
      </c>
    </row>
    <row r="77" spans="1:2" hidden="1" x14ac:dyDescent="0.2">
      <c r="A77" s="11" t="s">
        <v>75</v>
      </c>
      <c r="B77" t="e">
        <f>VLOOKUP(A:A,Bat!A:A,1,0)</f>
        <v>#N/A</v>
      </c>
    </row>
    <row r="78" spans="1:2" hidden="1" x14ac:dyDescent="0.2">
      <c r="A78" s="64" t="s">
        <v>76</v>
      </c>
      <c r="B78" t="e">
        <f>VLOOKUP(A:A,Bat!A:A,1,0)</f>
        <v>#N/A</v>
      </c>
    </row>
    <row r="79" spans="1:2" hidden="1" x14ac:dyDescent="0.2">
      <c r="A79" s="11" t="s">
        <v>77</v>
      </c>
      <c r="B79" t="e">
        <f>VLOOKUP(A:A,Bat!A:A,1,0)</f>
        <v>#N/A</v>
      </c>
    </row>
    <row r="80" spans="1:2" hidden="1" x14ac:dyDescent="0.2">
      <c r="A80" s="64" t="s">
        <v>78</v>
      </c>
      <c r="B80" t="e">
        <f>VLOOKUP(A:A,Bat!A:A,1,0)</f>
        <v>#N/A</v>
      </c>
    </row>
    <row r="81" spans="1:2" hidden="1" x14ac:dyDescent="0.2">
      <c r="A81" s="11" t="s">
        <v>79</v>
      </c>
      <c r="B81" t="e">
        <f>VLOOKUP(A:A,Bat!A:A,1,0)</f>
        <v>#N/A</v>
      </c>
    </row>
    <row r="82" spans="1:2" hidden="1" x14ac:dyDescent="0.2">
      <c r="A82" s="64" t="s">
        <v>80</v>
      </c>
      <c r="B82" t="e">
        <f>VLOOKUP(A:A,Bat!A:A,1,0)</f>
        <v>#N/A</v>
      </c>
    </row>
    <row r="83" spans="1:2" hidden="1" x14ac:dyDescent="0.2">
      <c r="A83" s="11" t="s">
        <v>81</v>
      </c>
      <c r="B83" t="e">
        <f>VLOOKUP(A:A,Bat!A:A,1,0)</f>
        <v>#N/A</v>
      </c>
    </row>
    <row r="84" spans="1:2" hidden="1" x14ac:dyDescent="0.2">
      <c r="A84" s="64" t="s">
        <v>82</v>
      </c>
      <c r="B84" t="e">
        <f>VLOOKUP(A:A,Bat!A:A,1,0)</f>
        <v>#N/A</v>
      </c>
    </row>
    <row r="85" spans="1:2" hidden="1" x14ac:dyDescent="0.2">
      <c r="A85" s="4" t="s">
        <v>83</v>
      </c>
      <c r="B85" t="e">
        <f>VLOOKUP(A:A,Bat!A:A,1,0)</f>
        <v>#N/A</v>
      </c>
    </row>
    <row r="86" spans="1:2" hidden="1" x14ac:dyDescent="0.2">
      <c r="A86" s="64" t="s">
        <v>84</v>
      </c>
      <c r="B86" t="e">
        <f>VLOOKUP(A:A,Bat!A:A,1,0)</f>
        <v>#N/A</v>
      </c>
    </row>
    <row r="87" spans="1:2" hidden="1" x14ac:dyDescent="0.2">
      <c r="A87" s="11" t="s">
        <v>85</v>
      </c>
      <c r="B87" t="e">
        <f>VLOOKUP(A:A,Bat!A:A,1,0)</f>
        <v>#N/A</v>
      </c>
    </row>
    <row r="88" spans="1:2" x14ac:dyDescent="0.2">
      <c r="A88" s="75" t="s">
        <v>690</v>
      </c>
      <c r="B88" s="48" t="e">
        <f>VLOOKUP(A:A,Bat!A:A,1,0)</f>
        <v>#N/A</v>
      </c>
    </row>
    <row r="89" spans="1:2" hidden="1" x14ac:dyDescent="0.2">
      <c r="A89" s="11" t="s">
        <v>86</v>
      </c>
      <c r="B89" t="e">
        <f>VLOOKUP(A:A,Bat!A:A,1,0)</f>
        <v>#N/A</v>
      </c>
    </row>
    <row r="90" spans="1:2" hidden="1" x14ac:dyDescent="0.2">
      <c r="A90" s="64" t="s">
        <v>87</v>
      </c>
      <c r="B90" t="e">
        <f>VLOOKUP(A:A,Bat!A:A,1,0)</f>
        <v>#N/A</v>
      </c>
    </row>
    <row r="91" spans="1:2" hidden="1" x14ac:dyDescent="0.2">
      <c r="A91" s="11" t="s">
        <v>88</v>
      </c>
      <c r="B91" t="e">
        <f>VLOOKUP(A:A,Bat!A:A,1,0)</f>
        <v>#N/A</v>
      </c>
    </row>
    <row r="92" spans="1:2" hidden="1" x14ac:dyDescent="0.2">
      <c r="A92" s="64" t="s">
        <v>89</v>
      </c>
      <c r="B92" t="e">
        <f>VLOOKUP(A:A,Bat!A:A,1,0)</f>
        <v>#N/A</v>
      </c>
    </row>
    <row r="93" spans="1:2" hidden="1" x14ac:dyDescent="0.2">
      <c r="A93" s="11" t="s">
        <v>90</v>
      </c>
      <c r="B93" t="e">
        <f>VLOOKUP(A:A,Bat!A:A,1,0)</f>
        <v>#N/A</v>
      </c>
    </row>
    <row r="94" spans="1:2" hidden="1" x14ac:dyDescent="0.2">
      <c r="A94" s="64" t="s">
        <v>91</v>
      </c>
      <c r="B94" t="e">
        <f>VLOOKUP(A:A,Bat!A:A,1,0)</f>
        <v>#N/A</v>
      </c>
    </row>
    <row r="95" spans="1:2" hidden="1" x14ac:dyDescent="0.2">
      <c r="A95" s="11" t="s">
        <v>92</v>
      </c>
      <c r="B95" t="e">
        <f>VLOOKUP(A:A,Bat!A:A,1,0)</f>
        <v>#N/A</v>
      </c>
    </row>
    <row r="96" spans="1:2" hidden="1" x14ac:dyDescent="0.2">
      <c r="A96" s="64" t="s">
        <v>93</v>
      </c>
      <c r="B96" t="e">
        <f>VLOOKUP(A:A,Bat!A:A,1,0)</f>
        <v>#N/A</v>
      </c>
    </row>
    <row r="97" spans="1:2" hidden="1" x14ac:dyDescent="0.2">
      <c r="A97" s="11" t="s">
        <v>94</v>
      </c>
      <c r="B97" t="e">
        <f>VLOOKUP(A:A,Bat!A:A,1,0)</f>
        <v>#N/A</v>
      </c>
    </row>
    <row r="98" spans="1:2" hidden="1" x14ac:dyDescent="0.2">
      <c r="A98" s="64" t="s">
        <v>95</v>
      </c>
      <c r="B98" t="e">
        <f>VLOOKUP(A:A,Bat!A:A,1,0)</f>
        <v>#N/A</v>
      </c>
    </row>
    <row r="99" spans="1:2" hidden="1" x14ac:dyDescent="0.2">
      <c r="A99" s="11" t="s">
        <v>96</v>
      </c>
      <c r="B99" t="e">
        <f>VLOOKUP(A:A,Bat!A:A,1,0)</f>
        <v>#N/A</v>
      </c>
    </row>
    <row r="100" spans="1:2" hidden="1" x14ac:dyDescent="0.2">
      <c r="A100" s="64" t="s">
        <v>97</v>
      </c>
      <c r="B100" t="e">
        <f>VLOOKUP(A:A,Bat!A:A,1,0)</f>
        <v>#N/A</v>
      </c>
    </row>
    <row r="101" spans="1:2" hidden="1" x14ac:dyDescent="0.2">
      <c r="A101" s="11" t="s">
        <v>98</v>
      </c>
      <c r="B101" t="e">
        <f>VLOOKUP(A:A,Bat!A:A,1,0)</f>
        <v>#N/A</v>
      </c>
    </row>
    <row r="102" spans="1:2" hidden="1" x14ac:dyDescent="0.2">
      <c r="A102" s="64" t="s">
        <v>99</v>
      </c>
      <c r="B102" t="e">
        <f>VLOOKUP(A:A,Bat!A:A,1,0)</f>
        <v>#N/A</v>
      </c>
    </row>
    <row r="103" spans="1:2" hidden="1" x14ac:dyDescent="0.2">
      <c r="A103" s="28" t="s">
        <v>100</v>
      </c>
      <c r="B103" t="e">
        <f>VLOOKUP(A:A,Bat!A:A,1,0)</f>
        <v>#N/A</v>
      </c>
    </row>
    <row r="104" spans="1:2" hidden="1" x14ac:dyDescent="0.2">
      <c r="A104" s="11" t="s">
        <v>101</v>
      </c>
      <c r="B104" t="e">
        <f>VLOOKUP(A:A,Bat!A:A,1,0)</f>
        <v>#N/A</v>
      </c>
    </row>
    <row r="105" spans="1:2" hidden="1" x14ac:dyDescent="0.2">
      <c r="A105" s="64" t="s">
        <v>102</v>
      </c>
      <c r="B105" t="e">
        <f>VLOOKUP(A:A,Bat!A:A,1,0)</f>
        <v>#N/A</v>
      </c>
    </row>
    <row r="106" spans="1:2" hidden="1" x14ac:dyDescent="0.2">
      <c r="A106" s="11" t="s">
        <v>103</v>
      </c>
      <c r="B106" t="e">
        <f>VLOOKUP(A:A,Bat!A:A,1,0)</f>
        <v>#N/A</v>
      </c>
    </row>
    <row r="107" spans="1:2" hidden="1" x14ac:dyDescent="0.2">
      <c r="A107" s="64" t="s">
        <v>104</v>
      </c>
      <c r="B107" t="e">
        <f>VLOOKUP(A:A,Bat!A:A,1,0)</f>
        <v>#N/A</v>
      </c>
    </row>
    <row r="108" spans="1:2" hidden="1" x14ac:dyDescent="0.2">
      <c r="A108" s="11" t="s">
        <v>105</v>
      </c>
      <c r="B108" t="e">
        <f>VLOOKUP(A:A,Bat!A:A,1,0)</f>
        <v>#N/A</v>
      </c>
    </row>
    <row r="109" spans="1:2" hidden="1" x14ac:dyDescent="0.2">
      <c r="A109" s="64" t="s">
        <v>106</v>
      </c>
      <c r="B109" t="e">
        <f>VLOOKUP(A:A,Bat!A:A,1,0)</f>
        <v>#N/A</v>
      </c>
    </row>
    <row r="110" spans="1:2" hidden="1" x14ac:dyDescent="0.2">
      <c r="A110" s="11" t="s">
        <v>107</v>
      </c>
      <c r="B110" t="e">
        <f>VLOOKUP(A:A,Bat!A:A,1,0)</f>
        <v>#N/A</v>
      </c>
    </row>
    <row r="111" spans="1:2" hidden="1" x14ac:dyDescent="0.2">
      <c r="A111" s="64" t="s">
        <v>108</v>
      </c>
      <c r="B111" t="e">
        <f>VLOOKUP(A:A,Bat!A:A,1,0)</f>
        <v>#N/A</v>
      </c>
    </row>
    <row r="112" spans="1:2" hidden="1" x14ac:dyDescent="0.2">
      <c r="A112" s="11" t="s">
        <v>109</v>
      </c>
      <c r="B112" t="e">
        <f>VLOOKUP(A:A,Bat!A:A,1,0)</f>
        <v>#N/A</v>
      </c>
    </row>
    <row r="113" spans="1:2" hidden="1" x14ac:dyDescent="0.2">
      <c r="A113" s="64" t="s">
        <v>110</v>
      </c>
      <c r="B113" t="e">
        <f>VLOOKUP(A:A,Bat!A:A,1,0)</f>
        <v>#N/A</v>
      </c>
    </row>
    <row r="114" spans="1:2" hidden="1" x14ac:dyDescent="0.2">
      <c r="A114" s="11" t="s">
        <v>111</v>
      </c>
      <c r="B114" t="e">
        <f>VLOOKUP(A:A,Bat!A:A,1,0)</f>
        <v>#N/A</v>
      </c>
    </row>
    <row r="115" spans="1:2" hidden="1" x14ac:dyDescent="0.2">
      <c r="A115" s="64" t="s">
        <v>112</v>
      </c>
      <c r="B115" t="e">
        <f>VLOOKUP(A:A,Bat!A:A,1,0)</f>
        <v>#N/A</v>
      </c>
    </row>
    <row r="116" spans="1:2" hidden="1" x14ac:dyDescent="0.2">
      <c r="A116" s="11" t="s">
        <v>113</v>
      </c>
      <c r="B116" t="e">
        <f>VLOOKUP(A:A,Bat!A:A,1,0)</f>
        <v>#N/A</v>
      </c>
    </row>
    <row r="117" spans="1:2" hidden="1" x14ac:dyDescent="0.2">
      <c r="A117" s="64" t="s">
        <v>114</v>
      </c>
      <c r="B117" t="e">
        <f>VLOOKUP(A:A,Bat!A:A,1,0)</f>
        <v>#N/A</v>
      </c>
    </row>
    <row r="118" spans="1:2" hidden="1" x14ac:dyDescent="0.2">
      <c r="A118" s="11" t="s">
        <v>115</v>
      </c>
      <c r="B118" t="e">
        <f>VLOOKUP(A:A,Bat!A:A,1,0)</f>
        <v>#N/A</v>
      </c>
    </row>
    <row r="119" spans="1:2" hidden="1" x14ac:dyDescent="0.2">
      <c r="A119" s="64" t="s">
        <v>116</v>
      </c>
      <c r="B119" t="e">
        <f>VLOOKUP(A:A,Bat!A:A,1,0)</f>
        <v>#N/A</v>
      </c>
    </row>
    <row r="120" spans="1:2" hidden="1" x14ac:dyDescent="0.2">
      <c r="A120" s="11" t="s">
        <v>117</v>
      </c>
      <c r="B120" t="e">
        <f>VLOOKUP(A:A,Bat!A:A,1,0)</f>
        <v>#N/A</v>
      </c>
    </row>
    <row r="121" spans="1:2" hidden="1" x14ac:dyDescent="0.2">
      <c r="A121" s="64" t="s">
        <v>118</v>
      </c>
      <c r="B121" t="e">
        <f>VLOOKUP(A:A,Bat!A:A,1,0)</f>
        <v>#N/A</v>
      </c>
    </row>
    <row r="122" spans="1:2" hidden="1" x14ac:dyDescent="0.2">
      <c r="A122" s="11" t="s">
        <v>119</v>
      </c>
      <c r="B122" t="e">
        <f>VLOOKUP(A:A,Bat!A:A,1,0)</f>
        <v>#N/A</v>
      </c>
    </row>
    <row r="123" spans="1:2" hidden="1" x14ac:dyDescent="0.2">
      <c r="A123" s="64" t="s">
        <v>120</v>
      </c>
      <c r="B123" t="e">
        <f>VLOOKUP(A:A,Bat!A:A,1,0)</f>
        <v>#N/A</v>
      </c>
    </row>
    <row r="124" spans="1:2" hidden="1" x14ac:dyDescent="0.2">
      <c r="A124" s="11" t="s">
        <v>121</v>
      </c>
      <c r="B124" t="e">
        <f>VLOOKUP(A:A,Bat!A:A,1,0)</f>
        <v>#N/A</v>
      </c>
    </row>
    <row r="125" spans="1:2" hidden="1" x14ac:dyDescent="0.2">
      <c r="A125" s="64" t="s">
        <v>122</v>
      </c>
      <c r="B125" t="e">
        <f>VLOOKUP(A:A,Bat!A:A,1,0)</f>
        <v>#N/A</v>
      </c>
    </row>
    <row r="126" spans="1:2" hidden="1" x14ac:dyDescent="0.2">
      <c r="A126" s="11" t="s">
        <v>124</v>
      </c>
      <c r="B126" t="e">
        <f>VLOOKUP(A:A,Bat!A:A,1,0)</f>
        <v>#N/A</v>
      </c>
    </row>
    <row r="127" spans="1:2" hidden="1" x14ac:dyDescent="0.2">
      <c r="A127" s="64" t="s">
        <v>125</v>
      </c>
      <c r="B127" t="e">
        <f>VLOOKUP(A:A,Bat!A:A,1,0)</f>
        <v>#N/A</v>
      </c>
    </row>
    <row r="128" spans="1:2" hidden="1" x14ac:dyDescent="0.2">
      <c r="A128" s="11" t="s">
        <v>126</v>
      </c>
      <c r="B128" t="e">
        <f>VLOOKUP(A:A,Bat!A:A,1,0)</f>
        <v>#N/A</v>
      </c>
    </row>
    <row r="129" spans="1:2" hidden="1" x14ac:dyDescent="0.2">
      <c r="A129" s="64" t="s">
        <v>127</v>
      </c>
      <c r="B129" t="e">
        <f>VLOOKUP(A:A,Bat!A:A,1,0)</f>
        <v>#N/A</v>
      </c>
    </row>
    <row r="130" spans="1:2" hidden="1" x14ac:dyDescent="0.2">
      <c r="A130" s="11" t="s">
        <v>128</v>
      </c>
      <c r="B130" t="e">
        <f>VLOOKUP(A:A,Bat!A:A,1,0)</f>
        <v>#N/A</v>
      </c>
    </row>
    <row r="131" spans="1:2" hidden="1" x14ac:dyDescent="0.2">
      <c r="A131" s="64" t="s">
        <v>129</v>
      </c>
      <c r="B131" t="e">
        <f>VLOOKUP(A:A,Bat!A:A,1,0)</f>
        <v>#N/A</v>
      </c>
    </row>
    <row r="132" spans="1:2" hidden="1" x14ac:dyDescent="0.2">
      <c r="A132" s="11" t="s">
        <v>130</v>
      </c>
      <c r="B132" t="e">
        <f>VLOOKUP(A:A,Bat!A:A,1,0)</f>
        <v>#N/A</v>
      </c>
    </row>
    <row r="133" spans="1:2" hidden="1" x14ac:dyDescent="0.2">
      <c r="A133" s="64" t="s">
        <v>131</v>
      </c>
      <c r="B133" t="e">
        <f>VLOOKUP(A:A,Bat!A:A,1,0)</f>
        <v>#N/A</v>
      </c>
    </row>
    <row r="134" spans="1:2" hidden="1" x14ac:dyDescent="0.2">
      <c r="A134" s="11" t="s">
        <v>132</v>
      </c>
      <c r="B134" t="e">
        <f>VLOOKUP(A:A,Bat!A:A,1,0)</f>
        <v>#N/A</v>
      </c>
    </row>
    <row r="135" spans="1:2" hidden="1" x14ac:dyDescent="0.2">
      <c r="A135" s="64" t="s">
        <v>133</v>
      </c>
      <c r="B135" t="e">
        <f>VLOOKUP(A:A,Bat!A:A,1,0)</f>
        <v>#N/A</v>
      </c>
    </row>
    <row r="136" spans="1:2" hidden="1" x14ac:dyDescent="0.2">
      <c r="A136" s="11" t="s">
        <v>134</v>
      </c>
      <c r="B136" t="e">
        <f>VLOOKUP(A:A,Bat!A:A,1,0)</f>
        <v>#N/A</v>
      </c>
    </row>
    <row r="137" spans="1:2" hidden="1" x14ac:dyDescent="0.2">
      <c r="A137" s="64" t="s">
        <v>135</v>
      </c>
      <c r="B137" t="e">
        <f>VLOOKUP(A:A,Bat!A:A,1,0)</f>
        <v>#N/A</v>
      </c>
    </row>
    <row r="138" spans="1:2" hidden="1" x14ac:dyDescent="0.2">
      <c r="A138" s="11" t="s">
        <v>136</v>
      </c>
      <c r="B138" t="e">
        <f>VLOOKUP(A:A,Bat!A:A,1,0)</f>
        <v>#N/A</v>
      </c>
    </row>
    <row r="139" spans="1:2" hidden="1" x14ac:dyDescent="0.2">
      <c r="A139" s="64" t="s">
        <v>137</v>
      </c>
      <c r="B139" t="e">
        <f>VLOOKUP(A:A,Bat!A:A,1,0)</f>
        <v>#N/A</v>
      </c>
    </row>
    <row r="140" spans="1:2" hidden="1" x14ac:dyDescent="0.2">
      <c r="A140" s="11" t="s">
        <v>138</v>
      </c>
      <c r="B140" t="e">
        <f>VLOOKUP(A:A,Bat!A:A,1,0)</f>
        <v>#N/A</v>
      </c>
    </row>
    <row r="141" spans="1:2" hidden="1" x14ac:dyDescent="0.2">
      <c r="A141" s="64" t="s">
        <v>139</v>
      </c>
      <c r="B141" t="e">
        <f>VLOOKUP(A:A,Bat!A:A,1,0)</f>
        <v>#N/A</v>
      </c>
    </row>
    <row r="142" spans="1:2" hidden="1" x14ac:dyDescent="0.2">
      <c r="A142" s="11" t="s">
        <v>140</v>
      </c>
      <c r="B142" t="e">
        <f>VLOOKUP(A:A,Bat!A:A,1,0)</f>
        <v>#N/A</v>
      </c>
    </row>
    <row r="143" spans="1:2" hidden="1" x14ac:dyDescent="0.2">
      <c r="A143" s="64" t="s">
        <v>141</v>
      </c>
      <c r="B143" t="e">
        <f>VLOOKUP(A:A,Bat!A:A,1,0)</f>
        <v>#N/A</v>
      </c>
    </row>
    <row r="144" spans="1:2" hidden="1" x14ac:dyDescent="0.2">
      <c r="A144" s="11" t="s">
        <v>142</v>
      </c>
      <c r="B144" t="e">
        <f>VLOOKUP(A:A,Bat!A:A,1,0)</f>
        <v>#N/A</v>
      </c>
    </row>
    <row r="145" spans="1:2" hidden="1" x14ac:dyDescent="0.2">
      <c r="A145" s="64" t="s">
        <v>143</v>
      </c>
      <c r="B145" t="e">
        <f>VLOOKUP(A:A,Bat!A:A,1,0)</f>
        <v>#N/A</v>
      </c>
    </row>
    <row r="146" spans="1:2" hidden="1" x14ac:dyDescent="0.2">
      <c r="A146" s="11" t="s">
        <v>144</v>
      </c>
      <c r="B146" t="e">
        <f>VLOOKUP(A:A,Bat!A:A,1,0)</f>
        <v>#N/A</v>
      </c>
    </row>
    <row r="147" spans="1:2" hidden="1" x14ac:dyDescent="0.2">
      <c r="A147" s="64" t="s">
        <v>145</v>
      </c>
      <c r="B147" t="e">
        <f>VLOOKUP(A:A,Bat!A:A,1,0)</f>
        <v>#N/A</v>
      </c>
    </row>
    <row r="148" spans="1:2" hidden="1" x14ac:dyDescent="0.2">
      <c r="A148" s="11" t="s">
        <v>146</v>
      </c>
      <c r="B148" t="e">
        <f>VLOOKUP(A:A,Bat!A:A,1,0)</f>
        <v>#N/A</v>
      </c>
    </row>
    <row r="149" spans="1:2" hidden="1" x14ac:dyDescent="0.2">
      <c r="A149" s="64" t="s">
        <v>147</v>
      </c>
      <c r="B149" t="e">
        <f>VLOOKUP(A:A,Bat!A:A,1,0)</f>
        <v>#N/A</v>
      </c>
    </row>
    <row r="150" spans="1:2" hidden="1" x14ac:dyDescent="0.2">
      <c r="A150" s="11" t="s">
        <v>148</v>
      </c>
      <c r="B150" t="e">
        <f>VLOOKUP(A:A,Bat!A:A,1,0)</f>
        <v>#N/A</v>
      </c>
    </row>
    <row r="151" spans="1:2" hidden="1" x14ac:dyDescent="0.2">
      <c r="A151" s="64" t="s">
        <v>149</v>
      </c>
      <c r="B151" t="e">
        <f>VLOOKUP(A:A,Bat!A:A,1,0)</f>
        <v>#N/A</v>
      </c>
    </row>
    <row r="152" spans="1:2" hidden="1" x14ac:dyDescent="0.2">
      <c r="A152" s="11" t="s">
        <v>160</v>
      </c>
      <c r="B152" t="e">
        <f>VLOOKUP(A:A,Bat!A:A,1,0)</f>
        <v>#N/A</v>
      </c>
    </row>
    <row r="153" spans="1:2" hidden="1" x14ac:dyDescent="0.2">
      <c r="A153" s="64" t="s">
        <v>150</v>
      </c>
      <c r="B153" t="e">
        <f>VLOOKUP(A:A,Bat!A:A,1,0)</f>
        <v>#N/A</v>
      </c>
    </row>
    <row r="154" spans="1:2" hidden="1" x14ac:dyDescent="0.2">
      <c r="A154" s="11" t="s">
        <v>151</v>
      </c>
      <c r="B154" t="e">
        <f>VLOOKUP(A:A,Bat!A:A,1,0)</f>
        <v>#N/A</v>
      </c>
    </row>
    <row r="155" spans="1:2" hidden="1" x14ac:dyDescent="0.2">
      <c r="A155" s="64" t="s">
        <v>153</v>
      </c>
      <c r="B155" t="e">
        <f>VLOOKUP(A:A,Bat!A:A,1,0)</f>
        <v>#N/A</v>
      </c>
    </row>
    <row r="156" spans="1:2" hidden="1" x14ac:dyDescent="0.2">
      <c r="A156" s="11" t="s">
        <v>152</v>
      </c>
      <c r="B156" t="e">
        <f>VLOOKUP(A:A,Bat!A:A,1,0)</f>
        <v>#N/A</v>
      </c>
    </row>
    <row r="157" spans="1:2" hidden="1" x14ac:dyDescent="0.2">
      <c r="A157" s="64" t="s">
        <v>154</v>
      </c>
      <c r="B157" t="e">
        <f>VLOOKUP(A:A,Bat!A:A,1,0)</f>
        <v>#N/A</v>
      </c>
    </row>
    <row r="158" spans="1:2" hidden="1" x14ac:dyDescent="0.2">
      <c r="A158" s="11" t="s">
        <v>156</v>
      </c>
      <c r="B158" t="e">
        <f>VLOOKUP(A:A,Bat!A:A,1,0)</f>
        <v>#N/A</v>
      </c>
    </row>
    <row r="159" spans="1:2" hidden="1" x14ac:dyDescent="0.2">
      <c r="A159" s="64" t="s">
        <v>157</v>
      </c>
      <c r="B159" t="e">
        <f>VLOOKUP(A:A,Bat!A:A,1,0)</f>
        <v>#N/A</v>
      </c>
    </row>
    <row r="160" spans="1:2" hidden="1" x14ac:dyDescent="0.2">
      <c r="A160" s="59" t="s">
        <v>158</v>
      </c>
      <c r="B160" t="e">
        <f>VLOOKUP(A:A,Bat!A:A,1,0)</f>
        <v>#N/A</v>
      </c>
    </row>
    <row r="161" spans="1:2" hidden="1" x14ac:dyDescent="0.2">
      <c r="A161" s="58" t="s">
        <v>159</v>
      </c>
      <c r="B161" t="e">
        <f>VLOOKUP(A:A,Bat!A:A,1,0)</f>
        <v>#N/A</v>
      </c>
    </row>
    <row r="162" spans="1:2" hidden="1" x14ac:dyDescent="0.2">
      <c r="A162" s="59" t="s">
        <v>155</v>
      </c>
      <c r="B162" t="e">
        <f>VLOOKUP(A:A,Bat!A:A,1,0)</f>
        <v>#N/A</v>
      </c>
    </row>
    <row r="163" spans="1:2" hidden="1" x14ac:dyDescent="0.2">
      <c r="A163" s="58" t="s">
        <v>123</v>
      </c>
      <c r="B163" t="e">
        <f>VLOOKUP(A:A,Bat!A:A,1,0)</f>
        <v>#N/A</v>
      </c>
    </row>
    <row r="164" spans="1:2" hidden="1" x14ac:dyDescent="0.2">
      <c r="A164" s="59" t="s">
        <v>807</v>
      </c>
      <c r="B164" t="e">
        <f>VLOOKUP(A:A,Bat!A:A,1,0)</f>
        <v>#N/A</v>
      </c>
    </row>
    <row r="165" spans="1:2" hidden="1" x14ac:dyDescent="0.2">
      <c r="A165" s="58" t="s">
        <v>810</v>
      </c>
      <c r="B165" t="e">
        <f>VLOOKUP(A:A,Bat!A:A,1,0)</f>
        <v>#N/A</v>
      </c>
    </row>
    <row r="166" spans="1:2" hidden="1" x14ac:dyDescent="0.2">
      <c r="A166" s="11" t="s">
        <v>813</v>
      </c>
      <c r="B166" t="e">
        <f>VLOOKUP(A:A,Bat!A:A,1,0)</f>
        <v>#N/A</v>
      </c>
    </row>
    <row r="167" spans="1:2" hidden="1" x14ac:dyDescent="0.2">
      <c r="A167" s="58" t="s">
        <v>824</v>
      </c>
      <c r="B167" t="e">
        <f>VLOOKUP(A:A,Bat!A:A,1,0)</f>
        <v>#N/A</v>
      </c>
    </row>
    <row r="168" spans="1:2" hidden="1" x14ac:dyDescent="0.2">
      <c r="A168" s="59" t="s">
        <v>825</v>
      </c>
      <c r="B168" t="e">
        <f>VLOOKUP(A:A,Bat!A:A,1,0)</f>
        <v>#N/A</v>
      </c>
    </row>
    <row r="169" spans="1:2" hidden="1" x14ac:dyDescent="0.2">
      <c r="A169" s="58" t="s">
        <v>826</v>
      </c>
      <c r="B169" t="e">
        <f>VLOOKUP(A:A,Bat!A:A,1,0)</f>
        <v>#N/A</v>
      </c>
    </row>
    <row r="170" spans="1:2" x14ac:dyDescent="0.2">
      <c r="A170" s="65">
        <v>9045</v>
      </c>
      <c r="B170" t="e">
        <f>VLOOKUP(A:A,Bat!A:A,1,0)</f>
        <v>#N/A</v>
      </c>
    </row>
    <row r="171" spans="1:2" x14ac:dyDescent="0.2">
      <c r="A171" s="66"/>
      <c r="B171" t="e">
        <f>VLOOKUP(A:A,Bat!A:A,1,0)</f>
        <v>#N/A</v>
      </c>
    </row>
    <row r="172" spans="1:2" x14ac:dyDescent="0.2">
      <c r="A172" s="65">
        <v>29218</v>
      </c>
      <c r="B172" t="e">
        <f>VLOOKUP(A:A,Bat!A:A,1,0)</f>
        <v>#N/A</v>
      </c>
    </row>
    <row r="173" spans="1:2" x14ac:dyDescent="0.2">
      <c r="A173" s="66">
        <v>29219</v>
      </c>
      <c r="B173" t="e">
        <f>VLOOKUP(A:A,Bat!A:A,1,0)</f>
        <v>#N/A</v>
      </c>
    </row>
  </sheetData>
  <autoFilter ref="A1:B170" xr:uid="{993D8E59-B211-4FE6-96B5-988608C5115D}">
    <filterColumn colId="1">
      <filters>
        <filter val="#N/A"/>
      </filters>
    </filterColumn>
  </autoFilter>
  <phoneticPr fontId="1" type="noConversion"/>
  <conditionalFormatting sqref="A17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邮箱</vt:lpstr>
      <vt:lpstr>Bat</vt:lpstr>
      <vt:lpstr>文件名</vt:lpstr>
      <vt:lpstr>Sheet1</vt:lpstr>
      <vt:lpstr>Mail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张帅</dc:creator>
  <cp:lastModifiedBy>Administrator</cp:lastModifiedBy>
  <dcterms:created xsi:type="dcterms:W3CDTF">2018-06-06T05:17:19Z</dcterms:created>
  <dcterms:modified xsi:type="dcterms:W3CDTF">2019-08-05T06:36:09Z</dcterms:modified>
</cp:coreProperties>
</file>