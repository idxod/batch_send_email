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scy\临时文件\帅\批量发送邮件V2.0\"/>
    </mc:Choice>
  </mc:AlternateContent>
  <xr:revisionPtr revIDLastSave="0" documentId="13_ncr:1_{1F4AB90A-BC0D-45BA-A858-F360820B393F}" xr6:coauthVersionLast="41" xr6:coauthVersionMax="43" xr10:uidLastSave="{00000000-0000-0000-0000-000000000000}"/>
  <bookViews>
    <workbookView xWindow="1155" yWindow="-120" windowWidth="27765" windowHeight="16440" tabRatio="673" xr2:uid="{00000000-000D-0000-FFFF-FFFF00000000}"/>
  </bookViews>
  <sheets>
    <sheet name="Macro" sheetId="1" r:id="rId1"/>
    <sheet name="Sheet1" sheetId="2" r:id="rId2"/>
  </sheets>
  <functionGroups builtInGroupCount="19"/>
  <definedNames>
    <definedName name="Att">Macro!$E$16</definedName>
    <definedName name="CCer">Macro!$C$16</definedName>
    <definedName name="Content">Macro!$B$14</definedName>
    <definedName name="Index">Macro!$A$16</definedName>
    <definedName name="Path">E:\加盟账单\18年账单\12月\账单数据\Source\Source</definedName>
    <definedName name="Receiver">Macro!$B$16</definedName>
    <definedName name="Replace">Macro!$F$16</definedName>
    <definedName name="Subject">Macro!$B$11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3" i="2"/>
  <c r="B14" i="2"/>
  <c r="B15" i="2"/>
  <c r="B1" i="2"/>
  <c r="B13" i="1" l="1"/>
  <c r="B14" i="1" s="1"/>
  <c r="A17" i="1" l="1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徐昂</author>
  </authors>
  <commentList>
    <comment ref="B14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请填写完整的地址，确保正确无误,最好为Word文档格式.docx</t>
        </r>
      </text>
    </comment>
    <comment ref="B16" authorId="0" shapeId="0" xr:uid="{00000000-0006-0000-0000-000002000000}">
      <text>
        <r>
          <rPr>
            <sz val="9"/>
            <color indexed="81"/>
            <rFont val="宋体"/>
            <family val="3"/>
            <charset val="134"/>
          </rPr>
          <t>不能为空</t>
        </r>
      </text>
    </comment>
    <comment ref="E16" authorId="0" shapeId="0" xr:uid="{00000000-0006-0000-0000-000003000000}">
      <text>
        <r>
          <rPr>
            <sz val="9"/>
            <color indexed="81"/>
            <rFont val="宋体"/>
            <family val="3"/>
            <charset val="134"/>
          </rPr>
          <t>完整的地址</t>
        </r>
      </text>
    </comment>
    <comment ref="F16" authorId="0" shapeId="0" xr:uid="{00000000-0006-0000-0000-000004000000}">
      <text>
        <r>
          <rPr>
            <sz val="9"/>
            <color indexed="81"/>
            <rFont val="宋体"/>
            <family val="3"/>
            <charset val="134"/>
          </rPr>
          <t>从此列开始，为正文需替换的内容，</t>
        </r>
        <r>
          <rPr>
            <sz val="9"/>
            <color indexed="81"/>
            <rFont val="Tahoma"/>
            <family val="2"/>
          </rPr>
          <t>"aaa"</t>
        </r>
        <r>
          <rPr>
            <sz val="9"/>
            <color indexed="81"/>
            <rFont val="宋体"/>
            <family val="3"/>
            <charset val="134"/>
          </rPr>
          <t>为在</t>
        </r>
        <r>
          <rPr>
            <sz val="9"/>
            <color indexed="81"/>
            <rFont val="Tahoma"/>
            <family val="2"/>
          </rPr>
          <t>word</t>
        </r>
        <r>
          <rPr>
            <sz val="9"/>
            <color indexed="81"/>
            <rFont val="宋体"/>
            <family val="3"/>
            <charset val="134"/>
          </rPr>
          <t>中的寻找标示，可以顺序在后面的列随意添加需替换的内容，如：在</t>
        </r>
        <r>
          <rPr>
            <sz val="9"/>
            <color indexed="81"/>
            <rFont val="Tahoma"/>
            <family val="2"/>
          </rPr>
          <t>G</t>
        </r>
        <r>
          <rPr>
            <sz val="9"/>
            <color indexed="81"/>
            <rFont val="宋体"/>
            <family val="3"/>
            <charset val="134"/>
          </rPr>
          <t>列添加</t>
        </r>
        <r>
          <rPr>
            <sz val="9"/>
            <color indexed="81"/>
            <rFont val="Tahoma"/>
            <family val="2"/>
          </rPr>
          <t>"ccc"</t>
        </r>
        <r>
          <rPr>
            <sz val="9"/>
            <color indexed="81"/>
            <rFont val="宋体"/>
            <family val="3"/>
            <charset val="134"/>
          </rPr>
          <t>，只要保证相关的标示在</t>
        </r>
        <r>
          <rPr>
            <sz val="9"/>
            <color indexed="81"/>
            <rFont val="Tahoma"/>
            <family val="2"/>
          </rPr>
          <t>word</t>
        </r>
        <r>
          <rPr>
            <sz val="9"/>
            <color indexed="81"/>
            <rFont val="宋体"/>
            <family val="3"/>
            <charset val="134"/>
          </rPr>
          <t>中存在即可</t>
        </r>
      </text>
    </comment>
  </commentList>
</comments>
</file>

<file path=xl/sharedStrings.xml><?xml version="1.0" encoding="utf-8"?>
<sst xmlns="http://schemas.openxmlformats.org/spreadsheetml/2006/main" count="50" uniqueCount="50">
  <si>
    <t>序号</t>
    <phoneticPr fontId="1" type="noConversion"/>
  </si>
  <si>
    <t>邮件主题</t>
    <phoneticPr fontId="1" type="noConversion"/>
  </si>
  <si>
    <t>收件人邮件地址</t>
    <phoneticPr fontId="1" type="noConversion"/>
  </si>
  <si>
    <t>抄送地址</t>
    <phoneticPr fontId="1" type="noConversion"/>
  </si>
  <si>
    <t>邮件正文存放地址</t>
    <phoneticPr fontId="1" type="noConversion"/>
  </si>
  <si>
    <t>附件</t>
    <phoneticPr fontId="1" type="noConversion"/>
  </si>
  <si>
    <t>此工具能自动批量发送以某一模板为基础的邮件，并能替换邮件正文的部分内容，还可以任意添加附件</t>
    <phoneticPr fontId="1" type="noConversion"/>
  </si>
  <si>
    <t>注意：</t>
    <phoneticPr fontId="1" type="noConversion"/>
  </si>
  <si>
    <t>1. 可以任意增加行</t>
    <phoneticPr fontId="1" type="noConversion"/>
  </si>
  <si>
    <t>2. 邮件正文存放地址和附件都需要填写完整路径、文件名及扩展名</t>
    <phoneticPr fontId="1" type="noConversion"/>
  </si>
  <si>
    <r>
      <t>3. 收件人邮件地址、抄送地址和附件都可以写任意多个，但需要以</t>
    </r>
    <r>
      <rPr>
        <sz val="11"/>
        <color rgb="FFFF0000"/>
        <rFont val="微软雅黑"/>
        <family val="2"/>
        <charset val="134"/>
      </rPr>
      <t>分号</t>
    </r>
    <r>
      <rPr>
        <sz val="11"/>
        <color theme="1"/>
        <rFont val="微软雅黑"/>
        <family val="2"/>
        <charset val="134"/>
      </rPr>
      <t>隔开</t>
    </r>
    <phoneticPr fontId="1" type="noConversion"/>
  </si>
  <si>
    <t>4. "aaa"和"bbb"为邮件正文需替换内容的标示，可以在后面的列任意添加其他标示，但请保证和邮件正文的一一对应</t>
    <phoneticPr fontId="1" type="noConversion"/>
  </si>
  <si>
    <t>月份</t>
    <phoneticPr fontId="1" type="noConversion"/>
  </si>
  <si>
    <t>Path</t>
    <phoneticPr fontId="1" type="noConversion"/>
  </si>
  <si>
    <t>文件名</t>
    <phoneticPr fontId="1" type="noConversion"/>
  </si>
  <si>
    <t>使用说明：</t>
    <phoneticPr fontId="1" type="noConversion"/>
  </si>
  <si>
    <t>邮件批量发送模板</t>
    <phoneticPr fontId="1" type="noConversion"/>
  </si>
  <si>
    <t>{Name}</t>
  </si>
  <si>
    <t>{Year}</t>
  </si>
  <si>
    <t>{Month}</t>
  </si>
  <si>
    <t>272686629@qq.com</t>
    <phoneticPr fontId="1" type="noConversion"/>
  </si>
  <si>
    <t>E:\workscy\临时文件\财务部\往来组\孙宜会\加盟账单\1907\账单\29001.xlsx</t>
    <phoneticPr fontId="1" type="noConversion"/>
  </si>
  <si>
    <t>29001.xlsx</t>
  </si>
  <si>
    <t>期初</t>
    <phoneticPr fontId="1" type="noConversion"/>
  </si>
  <si>
    <t>商品发货</t>
    <phoneticPr fontId="1" type="noConversion"/>
  </si>
  <si>
    <t>回款金额</t>
    <phoneticPr fontId="1" type="noConversion"/>
  </si>
  <si>
    <t>角塑提成</t>
    <phoneticPr fontId="1" type="noConversion"/>
  </si>
  <si>
    <t>总务费用</t>
    <phoneticPr fontId="1" type="noConversion"/>
  </si>
  <si>
    <t>依视路加工费</t>
    <phoneticPr fontId="1" type="noConversion"/>
  </si>
  <si>
    <t>邮政快递费</t>
    <phoneticPr fontId="1" type="noConversion"/>
  </si>
  <si>
    <t>期末应收款</t>
    <phoneticPr fontId="1" type="noConversion"/>
  </si>
  <si>
    <t>代销库存金额</t>
    <phoneticPr fontId="1" type="noConversion"/>
  </si>
  <si>
    <t>期末应回款</t>
    <phoneticPr fontId="1" type="noConversion"/>
  </si>
  <si>
    <t>视觉加盟费</t>
    <phoneticPr fontId="1" type="noConversion"/>
  </si>
  <si>
    <t>期初的总金额</t>
  </si>
  <si>
    <t>商品发货的总金额</t>
  </si>
  <si>
    <t>回款金额的总金额</t>
  </si>
  <si>
    <t>角塑提成的总金额</t>
  </si>
  <si>
    <t>总务费用的总金额</t>
  </si>
  <si>
    <t>依视路加工费的总金额</t>
  </si>
  <si>
    <t>邮政快递费的总金额</t>
  </si>
  <si>
    <t>期末应收款的总金额</t>
  </si>
  <si>
    <t>代销库存金额的总金额</t>
  </si>
  <si>
    <t>期末应回款的总金额</t>
  </si>
  <si>
    <t>视觉加盟费的总金额</t>
  </si>
  <si>
    <t>宝视达应回款</t>
    <phoneticPr fontId="1" type="noConversion"/>
  </si>
  <si>
    <t>精配应回款</t>
    <phoneticPr fontId="1" type="noConversion"/>
  </si>
  <si>
    <t>宝视达应回款的总金额</t>
  </si>
  <si>
    <t>精配应回款的总金额</t>
  </si>
  <si>
    <t>王XX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</si>
</sst>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-* #,##0.00_-;\-* #,##0.00_-;_-* &quot;-&quot;??_-;_-@_-"/>
    <numFmt numFmtId="177" formatCode="_-* #,##0_-;\-* #,##0_-;_-* &quot;-&quot;??_-;_-@_-"/>
  </numFmts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4" tint="-0.249977111117893"/>
      <name val="微软雅黑"/>
      <family val="2"/>
      <charset val="134"/>
    </font>
    <font>
      <b/>
      <sz val="11"/>
      <color theme="4" tint="-0.249977111117893"/>
      <name val="微软雅黑"/>
      <family val="2"/>
      <charset val="134"/>
    </font>
    <font>
      <u/>
      <sz val="11"/>
      <color theme="10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1"/>
      <color rgb="FFFF0000"/>
      <name val="微软雅黑"/>
      <family val="2"/>
      <charset val="134"/>
    </font>
    <font>
      <b/>
      <sz val="28"/>
      <color theme="1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theme="1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176" fontId="1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7" fontId="0" fillId="5" borderId="2" xfId="2" applyNumberFormat="1" applyFont="1" applyFill="1" applyBorder="1">
      <alignment vertical="center"/>
    </xf>
    <xf numFmtId="177" fontId="0" fillId="0" borderId="2" xfId="2" applyNumberFormat="1" applyFont="1" applyBorder="1">
      <alignment vertical="center"/>
    </xf>
    <xf numFmtId="0" fontId="6" fillId="3" borderId="1" xfId="1" applyFill="1" applyBorder="1" applyAlignment="1" applyProtection="1">
      <alignment vertical="center"/>
    </xf>
    <xf numFmtId="0" fontId="10" fillId="0" borderId="0" xfId="0" applyFont="1" applyAlignment="1">
      <alignment horizontal="center" vertical="center"/>
    </xf>
  </cellXfs>
  <cellStyles count="3">
    <cellStyle name="常规" xfId="0" builtinId="0"/>
    <cellStyle name="超链接" xfId="1" builtinId="8"/>
    <cellStyle name="千位分隔" xfId="2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点击开始批量发送邮件！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272686629@qq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7"/>
  <sheetViews>
    <sheetView showGridLines="0" tabSelected="1" workbookViewId="0">
      <selection activeCell="C19" sqref="C19"/>
    </sheetView>
  </sheetViews>
  <sheetFormatPr defaultRowHeight="16.5" x14ac:dyDescent="0.15"/>
  <cols>
    <col min="1" max="1" width="16.625" style="2" customWidth="1"/>
    <col min="2" max="2" width="51.125" style="2" customWidth="1"/>
    <col min="3" max="3" width="18.375" style="2" bestFit="1" customWidth="1"/>
    <col min="4" max="4" width="18.375" style="2" customWidth="1"/>
    <col min="5" max="5" width="68.875" style="2" customWidth="1"/>
    <col min="6" max="6" width="14.5" style="2" customWidth="1"/>
    <col min="7" max="7" width="7.5" style="2" bestFit="1" customWidth="1"/>
    <col min="8" max="8" width="9.625" style="2" bestFit="1" customWidth="1"/>
    <col min="9" max="9" width="13.25" style="2" bestFit="1" customWidth="1"/>
    <col min="10" max="13" width="17.5" style="2" bestFit="1" customWidth="1"/>
    <col min="14" max="14" width="21.625" style="2" bestFit="1" customWidth="1"/>
    <col min="15" max="16" width="19.5" style="2" bestFit="1" customWidth="1"/>
    <col min="17" max="17" width="21.625" style="2" bestFit="1" customWidth="1"/>
    <col min="18" max="18" width="19.5" style="2" bestFit="1" customWidth="1"/>
    <col min="19" max="19" width="21.625" style="2" bestFit="1" customWidth="1"/>
    <col min="20" max="21" width="19.5" style="2" bestFit="1" customWidth="1"/>
    <col min="22" max="16384" width="9" style="2"/>
  </cols>
  <sheetData>
    <row r="1" spans="1:21" ht="40.5" x14ac:dyDescent="0.15">
      <c r="A1" s="17" t="s">
        <v>16</v>
      </c>
      <c r="B1" s="17"/>
      <c r="C1" s="17"/>
      <c r="D1" s="17"/>
      <c r="E1" s="17"/>
      <c r="F1" s="17"/>
      <c r="G1" s="17"/>
    </row>
    <row r="2" spans="1:21" x14ac:dyDescent="0.15">
      <c r="A2" s="1" t="s">
        <v>15</v>
      </c>
    </row>
    <row r="3" spans="1:21" x14ac:dyDescent="0.15">
      <c r="A3" s="2" t="s">
        <v>6</v>
      </c>
    </row>
    <row r="4" spans="1:21" x14ac:dyDescent="0.15">
      <c r="A4" s="1" t="s">
        <v>7</v>
      </c>
    </row>
    <row r="5" spans="1:21" x14ac:dyDescent="0.15">
      <c r="A5" s="2" t="s">
        <v>8</v>
      </c>
    </row>
    <row r="6" spans="1:21" x14ac:dyDescent="0.15">
      <c r="A6" s="2" t="s">
        <v>9</v>
      </c>
    </row>
    <row r="7" spans="1:21" x14ac:dyDescent="0.15">
      <c r="A7" s="2" t="s">
        <v>10</v>
      </c>
    </row>
    <row r="8" spans="1:21" x14ac:dyDescent="0.15">
      <c r="A8" s="2" t="s">
        <v>11</v>
      </c>
    </row>
    <row r="11" spans="1:21" x14ac:dyDescent="0.15">
      <c r="A11" s="4" t="s">
        <v>1</v>
      </c>
      <c r="B11" s="5" t="str">
        <f>"宝视达加盟部"&amp;B12&amp;"月对账单"</f>
        <v>宝视达加盟部8月对账单</v>
      </c>
    </row>
    <row r="12" spans="1:21" x14ac:dyDescent="0.15">
      <c r="A12" s="4" t="s">
        <v>12</v>
      </c>
      <c r="B12" s="11">
        <v>8</v>
      </c>
      <c r="C12" s="13">
        <v>2019</v>
      </c>
      <c r="D12" s="3"/>
    </row>
    <row r="13" spans="1:21" x14ac:dyDescent="0.15">
      <c r="A13" s="4" t="s">
        <v>13</v>
      </c>
      <c r="B13" s="7" t="str">
        <f ca="1">LEFT(CELL("filename"),FIND("[",CELL("filename"))-1)</f>
        <v>E:\workscy\临时文件\帅\批量发送邮件V2.0\</v>
      </c>
      <c r="C13" s="3"/>
      <c r="D13" s="3"/>
    </row>
    <row r="14" spans="1:21" x14ac:dyDescent="0.15">
      <c r="A14" s="4" t="s">
        <v>4</v>
      </c>
      <c r="B14" s="5" t="str">
        <f ca="1">B13&amp;"modelheader.txt"</f>
        <v>E:\workscy\临时文件\帅\批量发送邮件V2.0\modelheader.txt</v>
      </c>
    </row>
    <row r="16" spans="1:21" x14ac:dyDescent="0.15">
      <c r="A16" s="8" t="s">
        <v>0</v>
      </c>
      <c r="B16" s="9" t="s">
        <v>2</v>
      </c>
      <c r="C16" s="9" t="s">
        <v>3</v>
      </c>
      <c r="D16" s="9" t="s">
        <v>14</v>
      </c>
      <c r="E16" s="9" t="s">
        <v>5</v>
      </c>
      <c r="F16" s="8" t="s">
        <v>17</v>
      </c>
      <c r="G16" s="8" t="s">
        <v>18</v>
      </c>
      <c r="H16" s="8" t="s">
        <v>19</v>
      </c>
      <c r="I16" s="8" t="s">
        <v>34</v>
      </c>
      <c r="J16" s="8" t="s">
        <v>35</v>
      </c>
      <c r="K16" s="8" t="s">
        <v>36</v>
      </c>
      <c r="L16" s="8" t="s">
        <v>37</v>
      </c>
      <c r="M16" s="8" t="s">
        <v>38</v>
      </c>
      <c r="N16" s="8" t="s">
        <v>39</v>
      </c>
      <c r="O16" s="8" t="s">
        <v>40</v>
      </c>
      <c r="P16" s="8" t="s">
        <v>41</v>
      </c>
      <c r="Q16" s="8" t="s">
        <v>42</v>
      </c>
      <c r="R16" s="8" t="s">
        <v>43</v>
      </c>
      <c r="S16" s="8" t="s">
        <v>47</v>
      </c>
      <c r="T16" s="8" t="s">
        <v>48</v>
      </c>
      <c r="U16" s="8" t="s">
        <v>44</v>
      </c>
    </row>
    <row r="17" spans="1:21" x14ac:dyDescent="0.15">
      <c r="A17" s="10">
        <f>ROW()-ROW(Index)</f>
        <v>1</v>
      </c>
      <c r="B17" s="16" t="s">
        <v>20</v>
      </c>
      <c r="C17" s="6"/>
      <c r="D17" s="6" t="s">
        <v>22</v>
      </c>
      <c r="E17" s="7" t="s">
        <v>21</v>
      </c>
      <c r="F17" s="11" t="s">
        <v>49</v>
      </c>
      <c r="G17" s="12">
        <v>2019</v>
      </c>
      <c r="H17" s="12">
        <v>8</v>
      </c>
      <c r="I17" s="14">
        <v>14684.99</v>
      </c>
      <c r="J17" s="15">
        <v>4126.2800000000025</v>
      </c>
      <c r="K17" s="14">
        <v>14685</v>
      </c>
      <c r="L17" s="15">
        <v>0</v>
      </c>
      <c r="M17" s="14">
        <v>290</v>
      </c>
      <c r="N17" s="15">
        <v>0</v>
      </c>
      <c r="O17" s="14">
        <v>0</v>
      </c>
      <c r="P17" s="15">
        <v>4416.2700000000041</v>
      </c>
      <c r="Q17" s="14">
        <v>0</v>
      </c>
      <c r="R17" s="15">
        <v>4416.2700000000041</v>
      </c>
      <c r="S17" s="14">
        <v>289.99</v>
      </c>
      <c r="T17" s="15">
        <v>4126.28</v>
      </c>
      <c r="U17" s="14">
        <v>40000</v>
      </c>
    </row>
  </sheetData>
  <mergeCells count="1">
    <mergeCell ref="A1:G1"/>
  </mergeCells>
  <phoneticPr fontId="1" type="noConversion"/>
  <hyperlinks>
    <hyperlink ref="B17" r:id="rId1" xr:uid="{D65A0AC8-F499-4A51-9D10-C2CE0CFF919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模块1.Send_Mails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6E221-C64A-4796-ACC3-7AC963A4F204}">
  <dimension ref="A1:B15"/>
  <sheetViews>
    <sheetView workbookViewId="0">
      <selection activeCell="A13" sqref="A13:B15"/>
    </sheetView>
  </sheetViews>
  <sheetFormatPr defaultRowHeight="13.5" x14ac:dyDescent="0.15"/>
  <cols>
    <col min="1" max="1" width="16.375" bestFit="1" customWidth="1"/>
    <col min="2" max="2" width="22.5" bestFit="1" customWidth="1"/>
  </cols>
  <sheetData>
    <row r="1" spans="1:2" x14ac:dyDescent="0.15">
      <c r="A1" t="s">
        <v>23</v>
      </c>
      <c r="B1" t="str">
        <f>A1&amp;"的总金额"</f>
        <v>期初的总金额</v>
      </c>
    </row>
    <row r="2" spans="1:2" x14ac:dyDescent="0.15">
      <c r="A2" t="s">
        <v>24</v>
      </c>
      <c r="B2" t="str">
        <f t="shared" ref="B2:B15" si="0">A2&amp;"的总金额"</f>
        <v>商品发货的总金额</v>
      </c>
    </row>
    <row r="3" spans="1:2" x14ac:dyDescent="0.15">
      <c r="A3" t="s">
        <v>25</v>
      </c>
      <c r="B3" t="str">
        <f t="shared" si="0"/>
        <v>回款金额的总金额</v>
      </c>
    </row>
    <row r="4" spans="1:2" x14ac:dyDescent="0.15">
      <c r="A4" t="s">
        <v>26</v>
      </c>
      <c r="B4" t="str">
        <f t="shared" si="0"/>
        <v>角塑提成的总金额</v>
      </c>
    </row>
    <row r="5" spans="1:2" x14ac:dyDescent="0.15">
      <c r="A5" t="s">
        <v>27</v>
      </c>
      <c r="B5" t="str">
        <f t="shared" si="0"/>
        <v>总务费用的总金额</v>
      </c>
    </row>
    <row r="6" spans="1:2" x14ac:dyDescent="0.15">
      <c r="A6" t="s">
        <v>28</v>
      </c>
      <c r="B6" t="str">
        <f t="shared" si="0"/>
        <v>依视路加工费的总金额</v>
      </c>
    </row>
    <row r="7" spans="1:2" x14ac:dyDescent="0.15">
      <c r="A7" t="s">
        <v>29</v>
      </c>
      <c r="B7" t="str">
        <f t="shared" si="0"/>
        <v>邮政快递费的总金额</v>
      </c>
    </row>
    <row r="8" spans="1:2" x14ac:dyDescent="0.15">
      <c r="A8" t="s">
        <v>30</v>
      </c>
      <c r="B8" t="str">
        <f t="shared" si="0"/>
        <v>期末应收款的总金额</v>
      </c>
    </row>
    <row r="9" spans="1:2" x14ac:dyDescent="0.15">
      <c r="A9" t="s">
        <v>31</v>
      </c>
      <c r="B9" t="str">
        <f t="shared" si="0"/>
        <v>代销库存金额的总金额</v>
      </c>
    </row>
    <row r="10" spans="1:2" x14ac:dyDescent="0.15">
      <c r="A10" t="s">
        <v>32</v>
      </c>
      <c r="B10" t="str">
        <f t="shared" si="0"/>
        <v>期末应回款的总金额</v>
      </c>
    </row>
    <row r="13" spans="1:2" x14ac:dyDescent="0.15">
      <c r="A13" t="s">
        <v>45</v>
      </c>
      <c r="B13" t="str">
        <f t="shared" si="0"/>
        <v>宝视达应回款的总金额</v>
      </c>
    </row>
    <row r="14" spans="1:2" x14ac:dyDescent="0.15">
      <c r="A14" t="s">
        <v>46</v>
      </c>
      <c r="B14" t="str">
        <f t="shared" si="0"/>
        <v>精配应回款的总金额</v>
      </c>
    </row>
    <row r="15" spans="1:2" x14ac:dyDescent="0.15">
      <c r="A15" t="s">
        <v>33</v>
      </c>
      <c r="B15" t="str">
        <f t="shared" si="0"/>
        <v>视觉加盟费的总金额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alidationSetting xmlns="http://tempuri.org/ValidationSetting.xsd">
  <xs:schema xmlns:mstns="http://tempuri.org/ValidationSetting.xsd" xmlns="http://tempuri.org/ValidationSetting.xsd" xmlns:xs="http://www.w3.org/2001/XMLSchema" xmlns:msdata="urn:schemas-microsoft-com:xml-msdata" id="ValidationSetting" targetNamespace="http://tempuri.org/ValidationSetting.xsd" attributeFormDefault="qualified" elementFormDefault="qualified">
    <xs:element name="ValidationSetting" msdata:IsDataSet="true" msdata:UseCurrentLocale="true">
      <xs:complexType>
        <xs:choice minOccurs="0" maxOccurs="unbounded">
          <xs:element name="SingleLevelValidation">
            <xs:complexType>
              <xs:sequence>
                <xs:element name="ValidationId" msdata:ReadOnly="true" msdata:AutoIncrement="true" type="xs:int"/>
                <xs:element name="ValidationRangeAddress" msdata:Caption="单元格区域地址" type="xs:string"/>
                <xs:element name="Type" msdata:Caption="有效性类型" type="xs:int" minOccurs="0"/>
                <xs:element name="AlertStyle" msdata:Caption="警告类型" type="xs:int" minOccurs="0"/>
                <xs:element name="Operator" msdata:Caption="操作符" type="xs:int" minOccurs="0"/>
                <xs:element name="Formula1" msdata:Caption="公式1" type="xs:string" minOccurs="0"/>
                <xs:element name="Formula2" msdata:Caption="公式2" type="xs:string" minOccurs="0"/>
                <xs:element name="InputMessage" msdata:Caption="输入信息" type="xs:string" minOccurs="0"/>
                <xs:element name="InputTitle" msdata:Caption="输入标题" type="xs:string" minOccurs="0"/>
                <xs:element name="ErrorMessage" msdata:Caption="错误信息" type="xs:string" minOccurs="0"/>
                <xs:element name="ErrorTitle" msdata:Caption="错误标题" type="xs:string" minOccurs="0"/>
                <xs:element name="IsValidationEnable" msdata:Caption="有效性状态" type="xs:boolean" minOccurs="0"/>
                <xs:element name="IsListColumn" type="xs:boolean" minOccurs="0"/>
              </xs:sequence>
            </xs:complexType>
          </xs:element>
          <xs:element name="MultiLevelValidation">
            <xs:complexType>
              <xs:sequence>
                <xs:element name="ValidationId" msdata:ReadOnly="true" msdata:AutoIncrement="true" type="xs:int"/>
                <xs:element name="ValidationName" msdata:Caption="规则名称" type="xs:string" minOccurs="0"/>
                <xs:element name="DataColAddressOfLevel1" msdata:Caption="一级数据列地址" type="xs:string" minOccurs="0"/>
                <xs:element name="DataColAddressOfLevel2" msdata:Caption="二级数据列地址" type="xs:string" minOccurs="0"/>
                <xs:element name="DataColAddressOfLevel3" msdata:Caption="三级数据列地址" type="xs:string" minOccurs="0"/>
                <xs:element name="DataColAddressOfLevel4" msdata:Caption="四级数据列地址" type="xs:string" minOccurs="0"/>
                <xs:element name="IsValidationEnable" msdata:Caption="规则生效状态" type="xs:boolean" minOccurs="0"/>
              </xs:sequence>
            </xs:complexType>
          </xs:element>
          <xs:element name="MultiLevelValidationDetail">
            <xs:complexType>
              <xs:sequence>
                <xs:element name="ValidationId" type="xs:int" minOccurs="0"/>
                <xs:element name="DataValueOfLevel1" msdata:Caption="一级数据内容" type="xs:string" minOccurs="0"/>
                <xs:element name="DataValueOfLevel2" msdata:Caption="二级数据内容" type="xs:string" minOccurs="0"/>
                <xs:element name="DataValueOfLevel3" msdata:Caption="三级数据内容" type="xs:string" minOccurs="0"/>
                <xs:element name="DataValueOfLevel4" msdata:Caption="四级数据内容" type="xs:string" minOccurs="0"/>
              </xs:sequence>
            </xs:complexType>
          </xs:element>
        </xs:choice>
      </xs:complexType>
      <xs:unique name="Constraint1">
        <xs:selector xpath=".//mstns:SingleLevelValidation"/>
        <xs:field xpath="mstns:ValidationId"/>
      </xs:unique>
      <xs:unique name="MultiLevelValidation_Constraint1" msdata:ConstraintName="Constraint1">
        <xs:selector xpath=".//mstns:MultiLevelValidation"/>
        <xs:field xpath="mstns:ValidationId"/>
      </xs:unique>
    </xs:element>
    <xs:annotation>
      <xs:appinfo>
        <msdata:Relationship name="FK_MultiLevelValidation_MultiLevelValidationDetail" msdata:parent="MultiLevelValidation" msdata:child="MultiLevelValidationDetail" msdata:parentkey="ValidationId" msdata:childkey="ValidationId"/>
      </xs:appinfo>
    </xs:annotation>
  </xs:schema>
</ValidationSetting>
</file>

<file path=customXml/itemProps1.xml><?xml version="1.0" encoding="utf-8"?>
<ds:datastoreItem xmlns:ds="http://schemas.openxmlformats.org/officeDocument/2006/customXml" ds:itemID="{71B3FD57-89D4-4F7C-90BF-105E06B57D1D}">
  <ds:schemaRefs>
    <ds:schemaRef ds:uri="http://tempuri.org/ValidationSetting.xsd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Macro</vt:lpstr>
      <vt:lpstr>Sheet1</vt:lpstr>
      <vt:lpstr>Att</vt:lpstr>
      <vt:lpstr>CCer</vt:lpstr>
      <vt:lpstr>Content</vt:lpstr>
      <vt:lpstr>Index</vt:lpstr>
      <vt:lpstr>Receiver</vt:lpstr>
      <vt:lpstr>Replace</vt:lpstr>
      <vt:lpstr>Subject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Administrator</cp:lastModifiedBy>
  <dcterms:created xsi:type="dcterms:W3CDTF">2011-10-27T07:07:48Z</dcterms:created>
  <dcterms:modified xsi:type="dcterms:W3CDTF">2019-09-04T03:50:13Z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alidationXmlPartId">
    <vt:lpwstr>{71B3FD57-89D4-4F7C-90BF-105E06B57D1D}</vt:lpwstr>
  </property>
</Properties>
</file>